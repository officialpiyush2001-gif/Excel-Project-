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hidePivotFieldList="1" defaultThemeVersion="166925"/>
  <mc:AlternateContent xmlns:mc="http://schemas.openxmlformats.org/markup-compatibility/2006">
    <mc:Choice Requires="x15">
      <x15ac:absPath xmlns:x15ac="http://schemas.microsoft.com/office/spreadsheetml/2010/11/ac" url="D:\accio class data\"/>
    </mc:Choice>
  </mc:AlternateContent>
  <xr:revisionPtr revIDLastSave="0" documentId="8_{E38AAECD-5D6A-4AC1-8DF9-0D170447BDC6}" xr6:coauthVersionLast="46" xr6:coauthVersionMax="46" xr10:uidLastSave="{00000000-0000-0000-0000-000000000000}"/>
  <bookViews>
    <workbookView xWindow="-120" yWindow="-120" windowWidth="20730" windowHeight="11040" firstSheet="6" activeTab="9" xr2:uid="{C81E5EEC-BCC9-4774-92DB-99A31CC1994D}"/>
  </bookViews>
  <sheets>
    <sheet name="Dataset" sheetId="1" r:id="rId1"/>
    <sheet name="KPI" sheetId="2" r:id="rId2"/>
    <sheet name="Ratings" sheetId="3" r:id="rId3"/>
    <sheet name="Employee by Gender" sheetId="4" r:id="rId4"/>
    <sheet name="Education wise Attrition" sheetId="5" r:id="rId5"/>
    <sheet name="Attrition By Job Role" sheetId="6" r:id="rId6"/>
    <sheet name="Department-wise Attrition" sheetId="8" r:id="rId7"/>
    <sheet name="Attrition By Age-Group" sheetId="9" r:id="rId8"/>
    <sheet name="Attrition By Marriage Status" sheetId="10" r:id="rId9"/>
    <sheet name="Background" sheetId="7" r:id="rId10"/>
  </sheets>
  <definedNames>
    <definedName name="_xlchart.v1.0" hidden="1">Ratings!$C$5:$C$6</definedName>
    <definedName name="_xlchart.v1.1" hidden="1">'Attrition By Job Role'!$D$3:$D$11</definedName>
    <definedName name="_xlchart.v1.10" hidden="1">'Attrition By Job Role'!$D$3:$D$11</definedName>
    <definedName name="_xlchart.v1.11" hidden="1">'Attrition By Job Role'!$E$2</definedName>
    <definedName name="_xlchart.v1.12" hidden="1">'Attrition By Job Role'!$E$3:$E$11</definedName>
    <definedName name="_xlchart.v1.2" hidden="1">'Attrition By Job Role'!$E$2</definedName>
    <definedName name="_xlchart.v1.3" hidden="1">'Attrition By Job Role'!$E$3:$E$11</definedName>
    <definedName name="_xlchart.v2.13" hidden="1">'Attrition By Marriage Status'!$D$4:$D$6</definedName>
    <definedName name="_xlchart.v2.14" hidden="1">'Attrition By Marriage Status'!$E$4:$E$6</definedName>
    <definedName name="_xlchart.v2.4" hidden="1">'Attrition By Marriage Status'!$D$4:$D$5</definedName>
    <definedName name="_xlchart.v2.5" hidden="1">'Attrition By Marriage Status'!$D$4:$D$6</definedName>
    <definedName name="_xlchart.v2.6" hidden="1">'Attrition By Marriage Status'!$E$4:$E$5</definedName>
    <definedName name="_xlchart.v2.7" hidden="1">'Attrition By Marriage Status'!$E$4:$E$6</definedName>
    <definedName name="_xlchart.v2.8" hidden="1">'Attrition By Marriage Status'!$D$4:$D$6</definedName>
    <definedName name="_xlchart.v2.9" hidden="1">'Attrition By Marriage Status'!$E$4:$E$6</definedName>
    <definedName name="Slicer_Department">#N/A</definedName>
    <definedName name="Slicer_Education_Field">#N/A</definedName>
    <definedName name="Slicer_Education_Field1">#N/A</definedName>
    <definedName name="Slicer_Education_Field2">#N/A</definedName>
    <definedName name="Slicer_Education_Field3">#N/A</definedName>
    <definedName name="Slicer_Gender">#N/A</definedName>
    <definedName name="Slicer_Gender1">#N/A</definedName>
    <definedName name="Slicer_Gender2">#N/A</definedName>
    <definedName name="Slicer_Marital_Status">#N/A</definedName>
  </definedNames>
  <calcPr calcId="191029"/>
  <pivotCaches>
    <pivotCache cacheId="3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10" l="1"/>
  <c r="D5" i="10"/>
  <c r="D4" i="10"/>
  <c r="E5" i="8"/>
  <c r="E6" i="8"/>
  <c r="E4" i="8"/>
  <c r="B9" i="4"/>
  <c r="B10" i="4"/>
  <c r="E5" i="10"/>
  <c r="E6" i="10"/>
  <c r="E4" i="10"/>
  <c r="F6" i="8"/>
  <c r="G6" i="8" s="1"/>
  <c r="F5" i="8"/>
  <c r="G5" i="8" s="1"/>
  <c r="F4" i="8"/>
  <c r="G4" i="8" s="1"/>
  <c r="B5" i="3"/>
  <c r="F7" i="2"/>
  <c r="E7" i="2"/>
  <c r="D7" i="2"/>
  <c r="C7" i="2"/>
  <c r="B7" i="2"/>
  <c r="C9" i="4" l="1"/>
  <c r="C10" i="4"/>
  <c r="C5" i="3"/>
  <c r="B6" i="3"/>
  <c r="C6" i="3" s="1"/>
</calcChain>
</file>

<file path=xl/sharedStrings.xml><?xml version="1.0" encoding="utf-8"?>
<sst xmlns="http://schemas.openxmlformats.org/spreadsheetml/2006/main" count="19228" uniqueCount="1570">
  <si>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</si>
  <si>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</si>
  <si>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</si>
  <si>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</si>
  <si>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</si>
  <si>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</si>
  <si>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</si>
  <si>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</si>
  <si>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</si>
  <si>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</si>
  <si>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</si>
  <si>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</si>
  <si>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</si>
  <si>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</si>
  <si>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</si>
  <si>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</si>
  <si>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</si>
  <si>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</si>
  <si>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</si>
  <si>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</si>
  <si>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</si>
  <si>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</si>
  <si>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</si>
  <si>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</si>
  <si>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</si>
  <si>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</si>
  <si>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</si>
  <si>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</si>
  <si>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</si>
  <si>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</si>
  <si>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</si>
  <si>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</si>
  <si>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</si>
  <si>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</si>
  <si>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</si>
  <si>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</si>
  <si>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</si>
  <si>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</si>
  <si>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</si>
  <si>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</si>
  <si>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</si>
  <si>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</si>
  <si>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</si>
  <si>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</si>
  <si>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</si>
  <si>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</si>
  <si>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</si>
  <si>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</si>
  <si>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</si>
  <si>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</si>
  <si>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</si>
  <si>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</si>
  <si>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</si>
  <si>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</si>
  <si>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</si>
  <si>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</si>
  <si>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</si>
  <si>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</si>
  <si>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</si>
  <si>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</si>
  <si>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</si>
  <si>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</si>
  <si>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</si>
  <si>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</si>
  <si>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</si>
  <si>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</si>
  <si>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</si>
  <si>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</si>
  <si>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</si>
  <si>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</si>
  <si>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</si>
  <si>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</si>
  <si>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</si>
  <si>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</si>
  <si>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</si>
  <si>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</si>
  <si>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</si>
  <si>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</si>
  <si>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</si>
  <si>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</si>
  <si>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</si>
  <si>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</si>
  <si>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</si>
  <si>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</si>
  <si>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</si>
  <si>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</si>
  <si>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</si>
  <si>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</si>
  <si>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</si>
  <si>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</si>
  <si>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</si>
  <si>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</si>
  <si>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</si>
  <si>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</si>
  <si>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</si>
  <si>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</si>
  <si>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</si>
  <si>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</si>
  <si>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</si>
  <si>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</si>
  <si>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</si>
  <si>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</si>
  <si>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</si>
  <si>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</si>
  <si>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</si>
  <si>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</si>
  <si>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</si>
  <si>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</si>
  <si>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</si>
  <si>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</si>
  <si>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</si>
  <si>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</si>
  <si>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</si>
  <si>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</si>
  <si>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</si>
  <si>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</si>
  <si>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</si>
  <si>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</si>
  <si>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</si>
  <si>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</si>
  <si>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</si>
  <si>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</si>
  <si>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</si>
  <si>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</si>
  <si>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</si>
  <si>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</si>
  <si>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</si>
  <si>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</si>
  <si>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</si>
  <si>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</si>
  <si>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</si>
  <si>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</si>
  <si>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</si>
  <si>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</si>
  <si>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</si>
  <si>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</si>
  <si>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</si>
  <si>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</si>
  <si>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</si>
  <si>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</si>
  <si>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</si>
  <si>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</si>
  <si>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</si>
  <si>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</si>
  <si>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</si>
  <si>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</si>
  <si>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</si>
  <si>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</si>
  <si>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</si>
  <si>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</si>
  <si>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</si>
  <si>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</si>
  <si>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</si>
  <si>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</si>
  <si>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</si>
  <si>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</si>
  <si>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</si>
  <si>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</si>
  <si>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</si>
  <si>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</si>
  <si>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</si>
  <si>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</si>
  <si>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</si>
  <si>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</si>
  <si>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</si>
  <si>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</si>
  <si>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</si>
  <si>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</si>
  <si>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</si>
  <si>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</si>
  <si>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</si>
  <si>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</si>
  <si>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</si>
  <si>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</si>
  <si>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</si>
  <si>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</si>
  <si>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</si>
  <si>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</si>
  <si>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</si>
  <si>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</si>
  <si>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</si>
  <si>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</si>
  <si>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</si>
  <si>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</si>
  <si>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</si>
  <si>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</si>
  <si>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</si>
  <si>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</si>
  <si>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</si>
  <si>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</si>
  <si>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</si>
  <si>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</si>
  <si>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</si>
  <si>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</si>
  <si>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</si>
  <si>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</si>
  <si>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</si>
  <si>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</si>
  <si>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</si>
  <si>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</si>
  <si>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</si>
  <si>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</si>
  <si>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</si>
  <si>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</si>
  <si>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</si>
  <si>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</si>
  <si>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</si>
  <si>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</si>
  <si>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</si>
  <si>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</si>
  <si>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</si>
  <si>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</si>
  <si>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</si>
  <si>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</si>
  <si>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</si>
  <si>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</si>
  <si>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</si>
  <si>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</si>
  <si>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</si>
  <si>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</si>
  <si>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</si>
  <si>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</si>
  <si>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</si>
  <si>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</si>
  <si>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</si>
  <si>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</si>
  <si>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</si>
  <si>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</si>
  <si>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</si>
  <si>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</si>
  <si>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</si>
  <si>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</si>
  <si>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</si>
  <si>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</si>
  <si>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</si>
  <si>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</si>
  <si>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</si>
  <si>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</si>
  <si>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</si>
  <si>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</si>
  <si>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</si>
  <si>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</si>
  <si>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</si>
  <si>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</si>
  <si>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</si>
  <si>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</si>
  <si>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</si>
  <si>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</si>
  <si>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</si>
  <si>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</si>
  <si>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</si>
  <si>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</si>
  <si>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</si>
  <si>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</si>
  <si>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</si>
  <si>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</si>
  <si>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</si>
  <si>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</si>
  <si>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</si>
  <si>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</si>
  <si>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</si>
  <si>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</si>
  <si>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</si>
  <si>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</si>
  <si>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</si>
  <si>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</si>
  <si>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</si>
  <si>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</si>
  <si>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</si>
  <si>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</si>
  <si>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</si>
  <si>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</si>
  <si>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</si>
  <si>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</si>
  <si>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</si>
  <si>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</si>
  <si>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</si>
  <si>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</si>
  <si>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</si>
  <si>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</si>
  <si>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</si>
  <si>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</si>
  <si>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</si>
  <si>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</si>
  <si>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</si>
  <si>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</si>
  <si>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</si>
  <si>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</si>
  <si>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</si>
  <si>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</si>
  <si>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</si>
  <si>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</si>
  <si>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</si>
  <si>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</si>
  <si>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</si>
  <si>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</si>
  <si>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</si>
  <si>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</si>
  <si>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</si>
  <si>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</si>
  <si>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</si>
  <si>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</si>
  <si>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</si>
  <si>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</si>
  <si>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</si>
  <si>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</si>
  <si>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</si>
  <si>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</si>
  <si>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</si>
  <si>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</si>
  <si>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</si>
  <si>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</si>
  <si>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</si>
  <si>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</si>
  <si>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</si>
  <si>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</si>
  <si>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</si>
  <si>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</si>
  <si>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</si>
  <si>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</si>
  <si>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</si>
  <si>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</si>
  <si>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</si>
  <si>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</si>
  <si>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</si>
  <si>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</si>
  <si>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</si>
  <si>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</si>
  <si>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</si>
  <si>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</si>
  <si>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</si>
  <si>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</si>
  <si>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</si>
  <si>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</si>
  <si>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</si>
  <si>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</si>
  <si>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</si>
  <si>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</si>
  <si>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</si>
  <si>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</si>
  <si>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</si>
  <si>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</si>
  <si>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</si>
  <si>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</si>
  <si>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</si>
  <si>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</si>
  <si>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</si>
  <si>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</si>
  <si>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</si>
  <si>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</si>
  <si>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</si>
  <si>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</si>
  <si>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</si>
  <si>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</si>
  <si>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</si>
  <si>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</si>
  <si>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</si>
  <si>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</si>
  <si>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</si>
  <si>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</si>
  <si>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</si>
  <si>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</si>
  <si>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</si>
  <si>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</si>
  <si>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</si>
  <si>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</si>
  <si>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</si>
  <si>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</si>
  <si>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</si>
  <si>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</si>
  <si>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</si>
  <si>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</si>
  <si>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</si>
  <si>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</si>
  <si>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</si>
  <si>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</si>
  <si>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</si>
  <si>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</si>
  <si>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</si>
  <si>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</si>
  <si>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</si>
  <si>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</si>
  <si>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</si>
  <si>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</si>
  <si>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</si>
  <si>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</si>
  <si>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</si>
  <si>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</si>
  <si>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</si>
  <si>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</si>
  <si>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</si>
  <si>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</si>
  <si>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</si>
  <si>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</si>
  <si>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</si>
  <si>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</si>
  <si>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</si>
  <si>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</si>
  <si>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</si>
  <si>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</si>
  <si>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</si>
  <si>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</si>
  <si>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</si>
  <si>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</si>
  <si>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</si>
  <si>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</si>
  <si>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</si>
  <si>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</si>
  <si>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</si>
  <si>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</si>
  <si>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</si>
  <si>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</si>
  <si>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</si>
  <si>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</si>
  <si>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</si>
  <si>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</si>
  <si>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</si>
  <si>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</si>
  <si>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</si>
  <si>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</si>
  <si>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</si>
  <si>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</si>
  <si>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</si>
  <si>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</si>
  <si>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</si>
  <si>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</si>
  <si>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</si>
  <si>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</si>
  <si>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</si>
  <si>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</si>
  <si>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</si>
  <si>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</si>
  <si>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</si>
  <si>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</si>
  <si>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</si>
  <si>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</si>
  <si>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</si>
  <si>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</si>
  <si>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</si>
  <si>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</si>
  <si>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</si>
  <si>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</si>
  <si>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</si>
  <si>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</si>
  <si>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</si>
  <si>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</si>
  <si>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</si>
  <si>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</si>
  <si>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</si>
  <si>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</si>
  <si>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</si>
  <si>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</si>
  <si>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</si>
  <si>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</si>
  <si>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</si>
  <si>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</si>
  <si>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</si>
  <si>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</si>
  <si>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</si>
  <si>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</si>
  <si>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</si>
  <si>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</si>
  <si>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</si>
  <si>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</si>
  <si>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</si>
  <si>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</si>
  <si>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</si>
  <si>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</si>
  <si>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</si>
  <si>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</si>
  <si>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</si>
  <si>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</si>
  <si>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</si>
  <si>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</si>
  <si>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</si>
  <si>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</si>
  <si>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</si>
  <si>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</si>
  <si>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</si>
  <si>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</si>
  <si>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</si>
  <si>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</si>
  <si>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</si>
  <si>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</si>
  <si>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</si>
  <si>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</si>
  <si>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</si>
  <si>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</si>
  <si>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</si>
  <si>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</si>
  <si>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</si>
  <si>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</si>
  <si>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</si>
  <si>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</si>
  <si>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</si>
  <si>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</si>
  <si>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</si>
  <si>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</si>
  <si>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</si>
  <si>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</si>
  <si>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</si>
  <si>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</si>
  <si>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</si>
  <si>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</si>
  <si>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</si>
  <si>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</si>
  <si>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</si>
  <si>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</si>
  <si>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</si>
  <si>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</si>
  <si>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</si>
  <si>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</si>
  <si>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</si>
  <si>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</si>
  <si>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</si>
  <si>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</si>
  <si>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</si>
  <si>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</si>
  <si>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</si>
  <si>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</si>
  <si>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</si>
  <si>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</si>
  <si>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</si>
  <si>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</si>
  <si>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</si>
  <si>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</si>
  <si>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</si>
  <si>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</si>
  <si>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</si>
  <si>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</si>
  <si>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</si>
  <si>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</si>
  <si>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</si>
  <si>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</si>
  <si>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</si>
  <si>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</si>
  <si>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</si>
  <si>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</si>
  <si>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</si>
  <si>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</si>
  <si>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</si>
  <si>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</si>
  <si>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</si>
  <si>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</si>
  <si>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</si>
  <si>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</si>
  <si>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</si>
  <si>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</si>
  <si>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</si>
  <si>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</si>
  <si>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</si>
  <si>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</si>
  <si>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</si>
  <si>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</si>
  <si>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</si>
  <si>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</si>
  <si>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</si>
  <si>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</si>
  <si>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</si>
  <si>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</si>
  <si>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</si>
  <si>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</si>
  <si>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</si>
  <si>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</si>
  <si>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</si>
  <si>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</si>
  <si>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</si>
  <si>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</si>
  <si>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</si>
  <si>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</si>
  <si>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</si>
  <si>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</si>
  <si>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</si>
  <si>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</si>
  <si>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</si>
  <si>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</si>
  <si>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</si>
  <si>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</si>
  <si>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</si>
  <si>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</si>
  <si>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</si>
  <si>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</si>
  <si>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</si>
  <si>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</si>
  <si>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</si>
  <si>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</si>
  <si>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</si>
  <si>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</si>
  <si>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</si>
  <si>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</si>
  <si>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</si>
  <si>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</si>
  <si>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</si>
  <si>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</si>
  <si>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</si>
  <si>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</si>
  <si>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</si>
  <si>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</si>
  <si>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</si>
  <si>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</si>
  <si>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</si>
  <si>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</si>
  <si>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</si>
  <si>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</si>
  <si>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</si>
  <si>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</si>
  <si>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</si>
  <si>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</si>
  <si>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</si>
  <si>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</si>
  <si>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</si>
  <si>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</si>
  <si>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</si>
  <si>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</si>
  <si>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</si>
  <si>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</si>
  <si>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</si>
  <si>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</si>
  <si>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</si>
  <si>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</si>
  <si>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</si>
  <si>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</si>
  <si>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</si>
  <si>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</si>
  <si>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</si>
  <si>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</si>
  <si>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</si>
  <si>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</si>
  <si>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</si>
  <si>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</si>
  <si>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</si>
  <si>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</si>
  <si>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</si>
  <si>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</si>
  <si>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</si>
  <si>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</si>
  <si>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</si>
  <si>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</si>
  <si>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</si>
  <si>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</si>
  <si>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</si>
  <si>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</si>
  <si>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</si>
  <si>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</si>
  <si>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</si>
  <si>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</si>
  <si>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</si>
  <si>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</si>
  <si>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</si>
  <si>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</si>
  <si>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</si>
  <si>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</si>
  <si>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</si>
  <si>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</si>
  <si>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</si>
  <si>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</si>
  <si>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</si>
  <si>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</si>
  <si>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</si>
  <si>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</si>
  <si>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</si>
  <si>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</si>
  <si>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</si>
  <si>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</si>
  <si>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</si>
  <si>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</si>
  <si>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</si>
  <si>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</si>
  <si>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</si>
  <si>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</si>
  <si>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</si>
  <si>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</si>
  <si>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</si>
  <si>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</si>
  <si>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</si>
  <si>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</si>
  <si>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</si>
  <si>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</si>
  <si>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</si>
  <si>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</si>
  <si>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</si>
  <si>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</si>
  <si>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</si>
  <si>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</si>
  <si>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</si>
  <si>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</si>
  <si>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</si>
  <si>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</si>
  <si>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</si>
  <si>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</si>
  <si>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</si>
  <si>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</si>
  <si>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</si>
  <si>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</si>
  <si>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</si>
  <si>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</si>
  <si>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</si>
  <si>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</si>
  <si>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</si>
  <si>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</si>
  <si>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</si>
  <si>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</si>
  <si>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</si>
  <si>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</si>
  <si>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</si>
  <si>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</si>
  <si>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</si>
  <si>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</si>
  <si>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</si>
  <si>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</si>
  <si>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</si>
  <si>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</si>
  <si>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</si>
  <si>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</si>
  <si>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</si>
  <si>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</si>
  <si>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</si>
  <si>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</si>
  <si>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</si>
  <si>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</si>
  <si>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</si>
  <si>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</si>
  <si>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</si>
  <si>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</si>
  <si>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</si>
  <si>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</si>
  <si>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</si>
  <si>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</si>
  <si>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</si>
  <si>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</si>
  <si>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</si>
  <si>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</si>
  <si>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</si>
  <si>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</si>
  <si>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</si>
  <si>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</si>
  <si>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</si>
  <si>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</si>
  <si>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</si>
  <si>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</si>
  <si>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</si>
  <si>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</si>
  <si>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</si>
  <si>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</si>
  <si>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</si>
  <si>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</si>
  <si>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</si>
  <si>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</si>
  <si>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</si>
  <si>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</si>
  <si>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</si>
  <si>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</si>
  <si>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</si>
  <si>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</si>
  <si>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</si>
  <si>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</si>
  <si>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</si>
  <si>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</si>
  <si>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</si>
  <si>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</si>
  <si>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</si>
  <si>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</si>
  <si>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</si>
  <si>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</si>
  <si>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</si>
  <si>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</si>
  <si>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</si>
  <si>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</si>
  <si>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</si>
  <si>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</si>
  <si>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</si>
  <si>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</si>
  <si>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</si>
  <si>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</si>
  <si>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</si>
  <si>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</si>
  <si>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</si>
  <si>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</si>
  <si>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</si>
  <si>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</si>
  <si>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</si>
  <si>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</si>
  <si>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</si>
  <si>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</si>
  <si>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</si>
  <si>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</si>
  <si>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</si>
  <si>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</si>
  <si>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</si>
  <si>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</si>
  <si>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</si>
  <si>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</si>
  <si>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</si>
  <si>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</si>
  <si>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</si>
  <si>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</si>
  <si>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</si>
  <si>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</si>
  <si>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</si>
  <si>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</si>
  <si>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</si>
  <si>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</si>
  <si>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</si>
  <si>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</si>
  <si>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</si>
  <si>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</si>
  <si>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</si>
  <si>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</si>
  <si>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</si>
  <si>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</si>
  <si>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</si>
  <si>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</si>
  <si>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</si>
  <si>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</si>
  <si>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</si>
  <si>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</si>
  <si>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</si>
  <si>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</si>
  <si>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</si>
  <si>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</si>
  <si>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</si>
  <si>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</si>
  <si>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</si>
  <si>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</si>
  <si>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</si>
  <si>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</si>
  <si>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</si>
  <si>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</si>
  <si>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</si>
  <si>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</si>
  <si>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</si>
  <si>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</si>
  <si>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</si>
  <si>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</si>
  <si>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</si>
  <si>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</si>
  <si>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</si>
  <si>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</si>
  <si>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</si>
  <si>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</si>
  <si>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</si>
  <si>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</si>
  <si>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</si>
  <si>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</si>
  <si>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</si>
  <si>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</si>
  <si>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</si>
  <si>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</si>
  <si>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</si>
  <si>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</si>
  <si>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</si>
  <si>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</si>
  <si>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</si>
  <si>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</si>
  <si>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</si>
  <si>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</si>
  <si>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</si>
  <si>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</si>
  <si>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</si>
  <si>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</si>
  <si>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</si>
  <si>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</si>
  <si>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</si>
  <si>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</si>
  <si>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</si>
  <si>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</si>
  <si>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</si>
  <si>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</si>
  <si>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</si>
  <si>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</si>
  <si>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</si>
  <si>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</si>
  <si>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</si>
  <si>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</si>
  <si>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</si>
  <si>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</si>
  <si>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</si>
  <si>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</si>
  <si>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</si>
  <si>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</si>
  <si>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</si>
  <si>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</si>
  <si>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</si>
  <si>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</si>
  <si>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</si>
  <si>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</si>
  <si>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</si>
  <si>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</si>
  <si>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</si>
  <si>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</si>
  <si>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</si>
  <si>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</si>
  <si>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</si>
  <si>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</si>
  <si>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</si>
  <si>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</si>
  <si>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</si>
  <si>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</si>
  <si>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</si>
  <si>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</si>
  <si>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</si>
  <si>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</si>
  <si>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</si>
  <si>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</si>
  <si>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</si>
  <si>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</si>
  <si>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</si>
  <si>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</si>
  <si>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</si>
  <si>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</si>
  <si>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</si>
  <si>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</si>
  <si>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</si>
  <si>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</si>
  <si>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</si>
  <si>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</si>
  <si>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</si>
  <si>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</si>
  <si>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</si>
  <si>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</si>
  <si>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</si>
  <si>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</si>
  <si>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</si>
  <si>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</si>
  <si>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</si>
  <si>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</si>
  <si>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</si>
  <si>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</si>
  <si>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</si>
  <si>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</si>
  <si>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</si>
  <si>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</si>
  <si>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</si>
  <si>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</si>
  <si>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</si>
  <si>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</si>
  <si>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</si>
  <si>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</si>
  <si>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</si>
  <si>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</si>
  <si>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</si>
  <si>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</si>
  <si>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</si>
  <si>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</si>
  <si>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</si>
  <si>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</si>
  <si>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</si>
  <si>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</si>
  <si>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</si>
  <si>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</si>
  <si>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</si>
  <si>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</si>
  <si>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</si>
  <si>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</si>
  <si>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</si>
  <si>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</si>
  <si>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</si>
  <si>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</si>
  <si>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</si>
  <si>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</si>
  <si>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</si>
  <si>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</si>
  <si>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</si>
  <si>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</si>
  <si>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</si>
  <si>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</si>
  <si>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</si>
  <si>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</si>
  <si>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</si>
  <si>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</si>
  <si>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</si>
  <si>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</si>
  <si>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</si>
  <si>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</si>
  <si>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</si>
  <si>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</si>
  <si>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</si>
  <si>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</si>
  <si>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</si>
  <si>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</si>
  <si>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</si>
  <si>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</si>
  <si>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</si>
  <si>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</si>
  <si>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</si>
  <si>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</si>
  <si>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</si>
  <si>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</si>
  <si>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</si>
  <si>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</si>
  <si>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</si>
  <si>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</si>
  <si>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</si>
  <si>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</si>
  <si>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</si>
  <si>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</si>
  <si>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</si>
  <si>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</si>
  <si>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</si>
  <si>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</si>
  <si>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</si>
  <si>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</si>
  <si>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</si>
  <si>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</si>
  <si>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</si>
  <si>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</si>
  <si>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</si>
  <si>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</si>
  <si>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</si>
  <si>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</si>
  <si>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</si>
  <si>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</si>
  <si>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</si>
  <si>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</si>
  <si>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</si>
  <si>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</si>
  <si>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</si>
  <si>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</si>
  <si>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</si>
  <si>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</si>
  <si>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</si>
  <si>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</si>
  <si>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</si>
  <si>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</si>
  <si>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</si>
  <si>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</si>
  <si>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</si>
  <si>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</si>
  <si>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</si>
  <si>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</si>
  <si>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</si>
  <si>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</si>
  <si>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</si>
  <si>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</si>
  <si>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</si>
  <si>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</si>
  <si>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</si>
  <si>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</si>
  <si>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</si>
  <si>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</si>
  <si>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</si>
  <si>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</si>
  <si>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</si>
  <si>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</si>
  <si>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</si>
  <si>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</si>
  <si>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</si>
  <si>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</si>
  <si>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</si>
  <si>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</si>
  <si>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</si>
  <si>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</si>
  <si>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</si>
  <si>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</si>
  <si>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</si>
  <si>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</si>
  <si>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</si>
  <si>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</si>
  <si>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</si>
  <si>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</si>
  <si>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</si>
  <si>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</si>
  <si>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</si>
  <si>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</si>
  <si>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</si>
  <si>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</si>
  <si>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</si>
  <si>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</si>
  <si>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</si>
  <si>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</si>
  <si>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</si>
  <si>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</si>
  <si>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</si>
  <si>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</si>
  <si>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</si>
  <si>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</si>
  <si>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</si>
  <si>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</si>
  <si>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</si>
  <si>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</si>
  <si>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</si>
  <si>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</si>
  <si>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</si>
  <si>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</si>
  <si>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</si>
  <si>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</si>
  <si>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</si>
  <si>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</si>
  <si>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</si>
  <si>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</si>
  <si>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</si>
  <si>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</si>
  <si>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</si>
  <si>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</si>
  <si>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</si>
  <si>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</si>
  <si>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</si>
  <si>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</si>
  <si>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</si>
  <si>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</si>
  <si>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</si>
  <si>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</si>
  <si>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</si>
  <si>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</si>
  <si>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</si>
  <si>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</si>
  <si>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</si>
  <si>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</si>
  <si>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</si>
  <si>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</si>
  <si>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</si>
  <si>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</si>
  <si>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</si>
  <si>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</si>
  <si>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</si>
  <si>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</si>
  <si>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</si>
  <si>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</si>
  <si>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</si>
  <si>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</si>
  <si>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</si>
  <si>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</si>
  <si>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</si>
  <si>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</si>
  <si>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</si>
  <si>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</si>
  <si>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</si>
  <si>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</si>
  <si>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</si>
  <si>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</si>
  <si>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</si>
  <si>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</si>
  <si>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</si>
  <si>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</si>
  <si>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</si>
  <si>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</si>
  <si>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</si>
  <si>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</si>
  <si>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</si>
  <si>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</si>
  <si>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</si>
  <si>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</si>
  <si>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</si>
  <si>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</si>
  <si>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</si>
  <si>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</si>
  <si>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</si>
  <si>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</si>
  <si>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</si>
  <si>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</si>
  <si>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</si>
  <si>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</si>
  <si>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</si>
  <si>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</si>
  <si>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</si>
  <si>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</si>
  <si>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</si>
  <si>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</si>
  <si>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</si>
  <si>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</si>
  <si>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</si>
  <si>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</si>
  <si>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</si>
  <si>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</si>
  <si>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</si>
  <si>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</si>
  <si>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</si>
  <si>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</si>
  <si>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</si>
  <si>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</si>
  <si>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</si>
  <si>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</si>
  <si>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</si>
  <si>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</si>
  <si>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</si>
  <si>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</si>
  <si>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</si>
  <si>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</si>
  <si>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</si>
  <si>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</si>
  <si>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</si>
  <si>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</si>
  <si>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</si>
  <si>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</si>
  <si>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</si>
  <si>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</si>
  <si>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</si>
  <si>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</si>
  <si>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</si>
  <si>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</si>
  <si>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</si>
  <si>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</si>
  <si>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</si>
  <si>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</si>
  <si>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</si>
  <si>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</si>
  <si>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</si>
  <si>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</si>
  <si>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</si>
  <si>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</si>
  <si>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</si>
  <si>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</si>
  <si>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</si>
  <si>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</si>
  <si>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</si>
  <si>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</si>
  <si>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</si>
  <si>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</si>
  <si>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</si>
  <si>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</si>
  <si>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</si>
  <si>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</si>
  <si>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</si>
  <si>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</si>
  <si>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</si>
  <si>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</si>
  <si>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</si>
  <si>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</si>
  <si>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</si>
  <si>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</si>
  <si>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</si>
  <si>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</si>
  <si>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</si>
  <si>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</si>
  <si>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</si>
  <si>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</si>
  <si>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</si>
  <si>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</si>
  <si>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</si>
  <si>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</si>
  <si>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</si>
  <si>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</si>
  <si>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</si>
  <si>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</si>
  <si>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</si>
  <si>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</si>
  <si>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</si>
  <si>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</si>
  <si>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</si>
  <si>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</si>
  <si>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</si>
  <si>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</si>
  <si>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</si>
  <si>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</si>
  <si>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</si>
  <si>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</si>
  <si>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</si>
  <si>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</si>
  <si>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</si>
  <si>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</si>
  <si>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</si>
  <si>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</si>
  <si>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</si>
  <si>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</si>
  <si>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</si>
  <si>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</si>
  <si>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</si>
  <si>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</si>
  <si>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</si>
  <si>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</si>
  <si>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</si>
  <si>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</si>
  <si>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</si>
  <si>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</si>
  <si>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</si>
  <si>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</si>
  <si>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</si>
  <si>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</si>
  <si>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</si>
  <si>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</si>
  <si>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</si>
  <si>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</si>
  <si>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</si>
  <si>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</si>
  <si>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</si>
  <si>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</si>
  <si>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</si>
  <si>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</si>
  <si>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</si>
  <si>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</si>
  <si>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</si>
  <si>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</si>
  <si>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</si>
  <si>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</si>
  <si>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</si>
  <si>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</si>
  <si>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</si>
  <si>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</si>
  <si>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</si>
  <si>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</si>
  <si>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</si>
  <si>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</si>
  <si>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</si>
  <si>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</si>
  <si>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</si>
  <si>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</si>
  <si>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</si>
  <si>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</si>
  <si>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</si>
  <si>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</si>
  <si>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</si>
  <si>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</si>
  <si>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</si>
  <si>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</si>
  <si>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</si>
  <si>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</si>
  <si>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</si>
  <si>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</si>
  <si>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</si>
  <si>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</si>
  <si>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</si>
  <si>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</si>
  <si>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</si>
  <si>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</si>
  <si>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</si>
  <si>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</si>
  <si>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</si>
  <si>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</si>
  <si>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</si>
  <si>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</si>
  <si>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</si>
  <si>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</si>
  <si>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</si>
  <si>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</si>
  <si>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</si>
  <si>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</si>
  <si>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</si>
  <si>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</si>
  <si>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</si>
  <si>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</si>
  <si>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</si>
  <si>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</si>
  <si>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</si>
  <si>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</si>
  <si>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</si>
  <si>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</si>
  <si>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</si>
  <si>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</si>
  <si>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</si>
  <si>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</si>
  <si>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</si>
  <si>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</si>
  <si>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</si>
  <si>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</si>
  <si>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</si>
  <si>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</si>
  <si>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</si>
  <si>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</si>
  <si>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</si>
  <si>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</si>
  <si>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</si>
  <si>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</si>
  <si>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</si>
  <si>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</si>
  <si>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</si>
  <si>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</si>
  <si>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</si>
  <si>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</si>
  <si>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</si>
  <si>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</si>
  <si>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</si>
  <si>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</si>
  <si>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</si>
  <si>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</si>
  <si>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</si>
  <si>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</si>
  <si>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</si>
  <si>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</si>
  <si>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</si>
  <si>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</si>
  <si>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</si>
  <si>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</si>
  <si>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</si>
  <si>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</si>
  <si>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</si>
  <si>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</si>
  <si>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</si>
  <si>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</si>
  <si>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</si>
  <si>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</si>
  <si>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</si>
  <si>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</si>
  <si>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</si>
  <si>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</si>
  <si>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</si>
  <si>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</si>
  <si>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</si>
  <si>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</si>
  <si>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</si>
  <si>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</si>
  <si>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</si>
  <si>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</si>
  <si>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</si>
  <si>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</si>
  <si>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</si>
  <si>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</si>
  <si>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</si>
  <si>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</si>
  <si>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</si>
  <si>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</si>
  <si>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</si>
  <si>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</si>
  <si>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</si>
  <si>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</si>
  <si>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</si>
  <si>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</si>
  <si>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</si>
  <si>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</si>
  <si>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</si>
  <si>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</si>
  <si>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</si>
  <si>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</si>
  <si>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</si>
  <si>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</si>
  <si>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</si>
  <si>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</si>
  <si>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</si>
  <si>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</si>
  <si>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</si>
  <si>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</si>
  <si>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</si>
  <si>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</si>
  <si>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</si>
  <si>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</si>
  <si>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</si>
  <si>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</si>
  <si>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</si>
  <si>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</si>
  <si>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</si>
  <si>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</si>
  <si>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</si>
  <si>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</si>
  <si>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</si>
  <si>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</si>
  <si>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</si>
  <si>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</si>
  <si>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</si>
  <si>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</si>
  <si>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</si>
  <si>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</si>
  <si>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</si>
  <si>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</si>
  <si>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</si>
  <si>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</si>
  <si>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</si>
  <si>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</si>
  <si>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</si>
  <si>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</si>
  <si>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</si>
  <si>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</si>
  <si>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</si>
  <si>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</si>
  <si>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</si>
  <si>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</si>
  <si>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</si>
  <si>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</si>
  <si>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</si>
  <si>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</si>
  <si>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</si>
  <si>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</si>
  <si>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</si>
  <si>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</si>
  <si>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</si>
  <si>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</si>
  <si>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</si>
  <si>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</si>
  <si>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</si>
  <si>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</si>
  <si>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</si>
  <si>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</si>
  <si>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</si>
  <si>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</si>
  <si>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</si>
  <si>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</si>
  <si>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</si>
  <si>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</si>
  <si>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</si>
  <si>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</si>
  <si>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</si>
  <si>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</si>
  <si>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</si>
  <si>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</si>
  <si>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</si>
  <si>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</si>
  <si>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</si>
  <si>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</si>
  <si>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</si>
  <si>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</si>
  <si>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</si>
  <si>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</si>
  <si>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</si>
  <si>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</si>
  <si>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</si>
  <si>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</si>
  <si>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</si>
  <si>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</si>
  <si>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</si>
  <si>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</si>
  <si>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</si>
  <si>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</si>
  <si>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</si>
  <si>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</si>
  <si>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</si>
  <si>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</si>
  <si>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</si>
  <si>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</si>
  <si>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</si>
  <si>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</si>
  <si>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</si>
  <si>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</si>
  <si>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</si>
  <si>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</si>
  <si>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</si>
  <si>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</si>
  <si>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</si>
  <si>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</si>
  <si>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</si>
  <si>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</si>
  <si>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</si>
  <si>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</si>
  <si>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</si>
  <si>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</si>
  <si>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</si>
  <si>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</si>
  <si>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</si>
  <si>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</si>
  <si>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</si>
  <si>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</si>
  <si>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</si>
  <si>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</si>
  <si>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</si>
  <si>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</si>
  <si>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</si>
  <si>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</si>
  <si>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</si>
  <si>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</si>
  <si>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</si>
  <si>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</si>
  <si>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</si>
  <si>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</si>
  <si>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</si>
  <si>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</si>
  <si>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</si>
  <si>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</si>
  <si>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</si>
  <si>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</si>
  <si>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</si>
  <si>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</si>
  <si>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</si>
  <si>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</si>
  <si>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</si>
  <si>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</si>
  <si>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</si>
  <si>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</si>
  <si>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CF_attrition rate</t>
  </si>
  <si>
    <t>Average of Age</t>
  </si>
  <si>
    <t>Total Employees</t>
  </si>
  <si>
    <t>Attrition Count</t>
  </si>
  <si>
    <t>Average Age</t>
  </si>
  <si>
    <t>Active Employees</t>
  </si>
  <si>
    <t>Attrition Rate</t>
  </si>
  <si>
    <t>Count of Employee Number</t>
  </si>
  <si>
    <t>Average of Job Satisfaction</t>
  </si>
  <si>
    <t>Rating</t>
  </si>
  <si>
    <t>Remaining Rating</t>
  </si>
  <si>
    <t>Grand Total</t>
  </si>
  <si>
    <t>Row Labels</t>
  </si>
  <si>
    <t>Sum of CF_attrition count</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</si>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</sst>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1"/>
    <xf numFmtId="10" fontId="0" fillId="0" borderId="0" xfId="0" applyNumberFormat="1"/>
    <xf numFmtId="0" fontId="2" fillId="0" borderId="2" xfId="0" applyFont="1" applyBorder="1"/>
    <xf numFmtId="0" fontId="0" fillId="0" borderId="2" xfId="0" applyBorder="1"/>
    <xf numFmtId="10" fontId="0" fillId="0" borderId="2" xfId="0" applyNumberFormat="1" applyBorder="1"/>
    <xf numFmtId="17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 fillId="0" borderId="0" xfId="0" applyFont="1"/>
    <xf numFmtId="0" fontId="0" fillId="2" borderId="1" xfId="0" applyFont="1" applyFill="1" applyBorder="1" applyAlignment="1">
      <alignment horizontal="center"/>
    </xf>
    <xf numFmtId="0" fontId="1" fillId="3" borderId="2" xfId="0" applyFont="1" applyFill="1" applyBorder="1"/>
    <xf numFmtId="171" fontId="0" fillId="0" borderId="2" xfId="0" applyNumberFormat="1" applyBorder="1"/>
  </cellXfs>
  <cellStyles count="1">
    <cellStyle name="Normal" xfId="0" builtinId="0"/>
  </cellStyles>
  <dxfs count="6">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numFmt numFmtId="0" formatCode="General"/>
    </dxf>
    <dxf>
      <alignment horizontal="left" vertical="bottom" textRotation="0" wrapText="0" indent="0" justifyLastLine="0" shrinkToFit="0" readingOrder="0"/>
    </dxf>
    <dxf>
      <border outline="0">
        <bottom style="thin">
          <color theme="4" tint="0.39997558519241921"/>
        </bottom>
      </border>
    </dxf>
    <dxf>
      <numFmt numFmtId="171" formatCode="0.0"/>
    </dxf>
  </dxfs>
  <tableStyles count="0" defaultTableStyle="TableStyleMedium2" defaultPivotStyle="PivotStyleLight16"/>
  <colors>
    <mruColors>
      <color rgb="FF33CCCC"/>
      <color rgb="FF28D8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33CCCC"/>
              </a:solidFill>
              <a:ln>
                <a:noFill/>
              </a:ln>
              <a:effectLst/>
            </c:spPr>
            <c:extLst>
              <c:ext xmlns:c16="http://schemas.microsoft.com/office/drawing/2014/chart" uri="{C3380CC4-5D6E-409C-BE32-E72D297353CC}">
                <c16:uniqueId val="{00000002-7CF0-4F80-A08F-B1BF903C9AA8}"/>
              </c:ext>
            </c:extLst>
          </c:dPt>
          <c:dPt>
            <c:idx val="1"/>
            <c:bubble3D val="0"/>
            <c:spPr>
              <a:solidFill>
                <a:schemeClr val="bg1">
                  <a:lumMod val="95000"/>
                </a:schemeClr>
              </a:solidFill>
              <a:ln>
                <a:noFill/>
              </a:ln>
              <a:effectLst/>
            </c:spPr>
            <c:extLst>
              <c:ext xmlns:c16="http://schemas.microsoft.com/office/drawing/2014/chart" uri="{C3380CC4-5D6E-409C-BE32-E72D297353CC}">
                <c16:uniqueId val="{00000003-7CF0-4F80-A08F-B1BF903C9AA8}"/>
              </c:ext>
            </c:extLst>
          </c:dPt>
          <c:dLbls>
            <c:delete val="1"/>
          </c:dLbls>
          <c:val>
            <c:numRef>
              <c:f>Ratings!$C$5:$C$6</c:f>
              <c:numCache>
                <c:formatCode>0.00%</c:formatCode>
                <c:ptCount val="2"/>
                <c:pt idx="0">
                  <c:v>0.65663265306122454</c:v>
                </c:pt>
                <c:pt idx="1">
                  <c:v>0.34336734693877546</c:v>
                </c:pt>
              </c:numCache>
            </c:numRef>
          </c:val>
          <c:extLst>
            <c:ext xmlns:c16="http://schemas.microsoft.com/office/drawing/2014/chart" uri="{C3380CC4-5D6E-409C-BE32-E72D297353CC}">
              <c16:uniqueId val="{00000000-7CF0-4F80-A08F-B1BF903C9AA8}"/>
            </c:ext>
          </c:extLst>
        </c:ser>
        <c:dLbls>
          <c:showLegendKey val="0"/>
          <c:showVal val="0"/>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19969378827651"/>
          <c:y val="5.0925887204941823E-2"/>
          <c:w val="0.53888888888888886"/>
          <c:h val="0.89814814814814814"/>
        </c:manualLayout>
      </c:layout>
      <c:doughnutChart>
        <c:varyColors val="1"/>
        <c:ser>
          <c:idx val="0"/>
          <c:order val="0"/>
          <c:spPr>
            <a:solidFill>
              <a:schemeClr val="bg1">
                <a:lumMod val="95000"/>
              </a:schemeClr>
            </a:solidFill>
            <a:ln>
              <a:solidFill>
                <a:schemeClr val="accent1"/>
              </a:solidFill>
            </a:ln>
          </c:spPr>
          <c:dPt>
            <c:idx val="0"/>
            <c:bubble3D val="0"/>
            <c:spPr>
              <a:solidFill>
                <a:schemeClr val="accent1"/>
              </a:solidFill>
              <a:ln w="9525" cap="flat" cmpd="sng" algn="ctr">
                <a:solidFill>
                  <a:schemeClr val="accent1"/>
                </a:solidFill>
                <a:round/>
              </a:ln>
              <a:effectLst/>
            </c:spPr>
            <c:extLst>
              <c:ext xmlns:c16="http://schemas.microsoft.com/office/drawing/2014/chart" uri="{C3380CC4-5D6E-409C-BE32-E72D297353CC}">
                <c16:uniqueId val="{00000003-18B7-4CCE-86F7-86177003F2B7}"/>
              </c:ext>
            </c:extLst>
          </c:dPt>
          <c:dPt>
            <c:idx val="1"/>
            <c:bubble3D val="0"/>
            <c:spPr>
              <a:solidFill>
                <a:schemeClr val="bg1">
                  <a:lumMod val="95000"/>
                </a:schemeClr>
              </a:solidFill>
              <a:ln w="9525" cap="flat" cmpd="sng" algn="ctr">
                <a:solidFill>
                  <a:schemeClr val="accent1"/>
                </a:solidFill>
                <a:round/>
              </a:ln>
              <a:effectLst/>
            </c:spPr>
            <c:extLst>
              <c:ext xmlns:c16="http://schemas.microsoft.com/office/drawing/2014/chart" uri="{C3380CC4-5D6E-409C-BE32-E72D297353CC}">
                <c16:uniqueId val="{00000004-18B7-4CCE-86F7-86177003F2B7}"/>
              </c:ext>
            </c:extLst>
          </c:dPt>
          <c:val>
            <c:numRef>
              <c:f>'Employee by Gender'!$C$9:$C$10</c:f>
              <c:numCache>
                <c:formatCode>0%</c:formatCode>
                <c:ptCount val="2"/>
                <c:pt idx="0">
                  <c:v>0.4</c:v>
                </c:pt>
                <c:pt idx="1">
                  <c:v>0.6</c:v>
                </c:pt>
              </c:numCache>
            </c:numRef>
          </c:val>
          <c:extLst>
            <c:ext xmlns:c16="http://schemas.microsoft.com/office/drawing/2014/chart" uri="{C3380CC4-5D6E-409C-BE32-E72D297353CC}">
              <c16:uniqueId val="{00000000-18B7-4CCE-86F7-86177003F2B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76B-4B96-B16C-F303CBD649A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076B-4B96-B16C-F303CBD649A4}"/>
              </c:ext>
            </c:extLst>
          </c:dPt>
          <c:val>
            <c:numRef>
              <c:f>'Employee by Gender'!$C$9:$C$10</c:f>
              <c:numCache>
                <c:formatCode>0%</c:formatCode>
                <c:ptCount val="2"/>
                <c:pt idx="0">
                  <c:v>0.4</c:v>
                </c:pt>
                <c:pt idx="1">
                  <c:v>0.6</c:v>
                </c:pt>
              </c:numCache>
            </c:numRef>
          </c:val>
          <c:extLst>
            <c:ext xmlns:c16="http://schemas.microsoft.com/office/drawing/2014/chart" uri="{C3380CC4-5D6E-409C-BE32-E72D297353CC}">
              <c16:uniqueId val="{00000000-076B-4B96-B16C-F303CBD649A4}"/>
            </c:ext>
          </c:extLst>
        </c:ser>
        <c:dLbls>
          <c:showLegendKey val="0"/>
          <c:showVal val="0"/>
          <c:showCatName val="0"/>
          <c:showSerName val="0"/>
          <c:showPercent val="0"/>
          <c:showBubbleSize val="0"/>
          <c:showLeaderLines val="1"/>
        </c:dLbls>
        <c:firstSliceAng val="20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Project.xlsx]Education wise Attrition!PivotTable4</c:name>
    <c:fmtId val="3"/>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innerShdw blurRad="114300">
              <a:prstClr val="black"/>
            </a:innerShdw>
          </a:effectLst>
          <a:scene3d>
            <a:camera prst="orthographicFront"/>
            <a:lightRig rig="threePt" dir="t"/>
          </a:scene3d>
          <a:sp3d>
            <a:bevelT w="139700" h="139700"/>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innerShdw blurRad="114300">
                <a:prstClr val="black"/>
              </a:innerShdw>
            </a:effectLst>
            <a:scene3d>
              <a:camera prst="orthographicFront"/>
              <a:lightRig rig="threePt" dir="t"/>
            </a:scene3d>
            <a:sp3d>
              <a:bevelT w="139700" h="139700"/>
            </a:sp3d>
          </c:spPr>
          <c:invertIfNegative val="0"/>
          <c:cat>
            <c:strRef>
              <c:f>'Education wise Attrition'!$A$3:$A$8</c:f>
              <c:strCache>
                <c:ptCount val="5"/>
                <c:pt idx="0">
                  <c:v>Associates Degree</c:v>
                </c:pt>
                <c:pt idx="1">
                  <c:v>Bachelor's Degree</c:v>
                </c:pt>
                <c:pt idx="2">
                  <c:v>Doctoral Degree</c:v>
                </c:pt>
                <c:pt idx="3">
                  <c:v>High School</c:v>
                </c:pt>
                <c:pt idx="4">
                  <c:v>Master's Degree</c:v>
                </c:pt>
              </c:strCache>
            </c:strRef>
          </c:cat>
          <c:val>
            <c:numRef>
              <c:f>'Education wise Attrition'!$B$3:$B$8</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2BF0-4A83-8084-837CE1693FB6}"/>
            </c:ext>
          </c:extLst>
        </c:ser>
        <c:dLbls>
          <c:showLegendKey val="0"/>
          <c:showVal val="0"/>
          <c:showCatName val="0"/>
          <c:showSerName val="0"/>
          <c:showPercent val="0"/>
          <c:showBubbleSize val="0"/>
        </c:dLbls>
        <c:gapWidth val="100"/>
        <c:axId val="565517488"/>
        <c:axId val="565518320"/>
      </c:barChart>
      <c:catAx>
        <c:axId val="56551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18320"/>
        <c:crosses val="autoZero"/>
        <c:auto val="1"/>
        <c:lblAlgn val="ctr"/>
        <c:lblOffset val="100"/>
        <c:noMultiLvlLbl val="0"/>
      </c:catAx>
      <c:valAx>
        <c:axId val="565518320"/>
        <c:scaling>
          <c:orientation val="minMax"/>
        </c:scaling>
        <c:delete val="0"/>
        <c:axPos val="b"/>
        <c:majorGridlines>
          <c:spPr>
            <a:ln w="9525" cap="flat" cmpd="sng" algn="ctr">
              <a:solidFill>
                <a:schemeClr val="accent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1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82550" h="44450" prst="angle"/>
      <a:bevelB w="82550" h="44450" prst="angl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cene3d>
              <a:camera prst="orthographicFront"/>
              <a:lightRig rig="threePt" dir="t"/>
            </a:scene3d>
            <a:sp3d>
              <a:bevelT/>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2-EA15-48AF-9AA6-584C138178E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3-EA15-48AF-9AA6-584C138178E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4-EA15-48AF-9AA6-584C138178E8}"/>
              </c:ext>
            </c:extLst>
          </c:dPt>
          <c:dLbls>
            <c:dLbl>
              <c:idx val="0"/>
              <c:tx>
                <c:rich>
                  <a:bodyPr/>
                  <a:lstStyle/>
                  <a:p>
                    <a:r>
                      <a:rPr lang="en-US" b="1">
                        <a:latin typeface="Batang" panose="02030600000101010101" pitchFamily="18" charset="-127"/>
                        <a:ea typeface="Batang" panose="02030600000101010101" pitchFamily="18" charset="-127"/>
                      </a:rPr>
                      <a:t>HR </a:t>
                    </a:r>
                  </a:p>
                  <a:p>
                    <a:fld id="{F83F79B8-C711-4080-A8FB-4E789EF7EC21}" type="VALUE">
                      <a:rPr lang="en-US" b="1">
                        <a:latin typeface="Batang" panose="02030600000101010101" pitchFamily="18" charset="-127"/>
                        <a:ea typeface="Batang" panose="02030600000101010101" pitchFamily="18" charset="-127"/>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A15-48AF-9AA6-584C138178E8}"/>
                </c:ext>
              </c:extLst>
            </c:dLbl>
            <c:dLbl>
              <c:idx val="1"/>
              <c:tx>
                <c:rich>
                  <a:bodyPr/>
                  <a:lstStyle/>
                  <a:p>
                    <a:r>
                      <a:rPr lang="en-US" sz="900" b="1">
                        <a:latin typeface="Batang" panose="02030600000101010101" pitchFamily="18" charset="-127"/>
                        <a:ea typeface="Batang" panose="02030600000101010101" pitchFamily="18" charset="-127"/>
                      </a:rPr>
                      <a:t>R &amp;D</a:t>
                    </a:r>
                  </a:p>
                  <a:p>
                    <a:r>
                      <a:rPr lang="en-US" sz="900" b="1">
                        <a:latin typeface="Batang" panose="02030600000101010101" pitchFamily="18" charset="-127"/>
                        <a:ea typeface="Batang" panose="02030600000101010101" pitchFamily="18" charset="-127"/>
                      </a:rPr>
                      <a:t>56.12</a:t>
                    </a:r>
                    <a:r>
                      <a:rPr lang="en-US" sz="900">
                        <a:latin typeface="Batang" panose="02030600000101010101" pitchFamily="18" charset="-127"/>
                        <a:ea typeface="Batang" panose="02030600000101010101" pitchFamily="18" charset="-127"/>
                      </a:rPr>
                      <a:t>%</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A15-48AF-9AA6-584C138178E8}"/>
                </c:ext>
              </c:extLst>
            </c:dLbl>
            <c:dLbl>
              <c:idx val="2"/>
              <c:tx>
                <c:rich>
                  <a:bodyPr/>
                  <a:lstStyle/>
                  <a:p>
                    <a:r>
                      <a:rPr lang="en-US" b="1">
                        <a:latin typeface="Batang" panose="02030600000101010101" pitchFamily="18" charset="-127"/>
                        <a:ea typeface="Batang" panose="02030600000101010101" pitchFamily="18" charset="-127"/>
                      </a:rPr>
                      <a:t>Sales</a:t>
                    </a:r>
                  </a:p>
                  <a:p>
                    <a:fld id="{F2BC0231-AB63-4C11-919C-0237AD89DF1E}" type="VALUE">
                      <a:rPr lang="en-US" b="1">
                        <a:latin typeface="Batang" panose="02030600000101010101" pitchFamily="18" charset="-127"/>
                        <a:ea typeface="Batang" panose="02030600000101010101" pitchFamily="18" charset="-127"/>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A15-48AF-9AA6-584C138178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'Department-wise Attrition'!$G$4:$G$6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A15-48AF-9AA6-584C138178E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Project.xlsx]Attrition By Age-Group!PivotTable9</c:name>
    <c:fmtId val="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Age-Group'!$B$2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Age-Group'!$A$3:$A$8</c:f>
              <c:strCache>
                <c:ptCount val="5"/>
                <c:pt idx="0">
                  <c:v>25 - 34</c:v>
                </c:pt>
                <c:pt idx="1">
                  <c:v>35 - 44</c:v>
                </c:pt>
                <c:pt idx="2">
                  <c:v>45 - 54</c:v>
                </c:pt>
                <c:pt idx="3">
                  <c:v>Over 55</c:v>
                </c:pt>
                <c:pt idx="4">
                  <c:v>Under 25</c:v>
                </c:pt>
              </c:strCache>
            </c:strRef>
          </c:cat>
          <c:val>
            <c:numRef>
              <c:f>'Attrition By Age-Group'!$B$3:$B$8</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898C-444D-8312-1C4637385353}"/>
            </c:ext>
          </c:extLst>
        </c:ser>
        <c:dLbls>
          <c:showLegendKey val="0"/>
          <c:showVal val="1"/>
          <c:showCatName val="0"/>
          <c:showSerName val="0"/>
          <c:showPercent val="0"/>
          <c:showBubbleSize val="0"/>
        </c:dLbls>
        <c:gapWidth val="150"/>
        <c:overlap val="100"/>
        <c:axId val="565522896"/>
        <c:axId val="565523312"/>
      </c:barChart>
      <c:catAx>
        <c:axId val="56552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23312"/>
        <c:crosses val="autoZero"/>
        <c:auto val="1"/>
        <c:lblAlgn val="ctr"/>
        <c:lblOffset val="100"/>
        <c:noMultiLvlLbl val="0"/>
      </c:catAx>
      <c:valAx>
        <c:axId val="56552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2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Project.xlsx]Attrition By Age-Group!PivotTable9</c:name>
    <c:fmtId val="1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'Attrition By Age-Group'!$B$2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Age-Group'!$A$3:$A$8</c:f>
              <c:strCache>
                <c:ptCount val="5"/>
                <c:pt idx="0">
                  <c:v>25 - 34</c:v>
                </c:pt>
                <c:pt idx="1">
                  <c:v>35 - 44</c:v>
                </c:pt>
                <c:pt idx="2">
                  <c:v>45 - 54</c:v>
                </c:pt>
                <c:pt idx="3">
                  <c:v>Over 55</c:v>
                </c:pt>
                <c:pt idx="4">
                  <c:v>Under 25</c:v>
                </c:pt>
              </c:strCache>
            </c:strRef>
          </c:cat>
          <c:val>
            <c:numRef>
              <c:f>'Attrition By Age-Group'!$B$3:$B$8</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F861-4912-8C65-F54F7A5DC470}"/>
            </c:ext>
          </c:extLst>
        </c:ser>
        <c:dLbls>
          <c:showLegendKey val="0"/>
          <c:showVal val="1"/>
          <c:showCatName val="0"/>
          <c:showSerName val="0"/>
          <c:showPercent val="0"/>
          <c:showBubbleSize val="0"/>
        </c:dLbls>
        <c:gapWidth val="150"/>
        <c:overlap val="100"/>
        <c:axId val="565522896"/>
        <c:axId val="565523312"/>
      </c:barChart>
      <c:catAx>
        <c:axId val="56552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23312"/>
        <c:crosses val="autoZero"/>
        <c:auto val="1"/>
        <c:lblAlgn val="ctr"/>
        <c:lblOffset val="100"/>
        <c:noMultiLvlLbl val="0"/>
      </c:catAx>
      <c:valAx>
        <c:axId val="565523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2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31750"/>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cene3d>
              <a:camera prst="orthographicFront"/>
              <a:lightRig rig="threePt" dir="t"/>
            </a:scene3d>
            <a:sp3d>
              <a:bevelT/>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1-40AD-46E0-A775-701D2EF36A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3-40AD-46E0-A775-701D2EF36A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5-40AD-46E0-A775-701D2EF36A46}"/>
              </c:ext>
            </c:extLst>
          </c:dPt>
          <c:dLbls>
            <c:dLbl>
              <c:idx val="0"/>
              <c:tx>
                <c:rich>
                  <a:bodyPr/>
                  <a:lstStyle/>
                  <a:p>
                    <a:r>
                      <a:rPr lang="en-US" b="1">
                        <a:latin typeface="Batang" panose="02030600000101010101" pitchFamily="18" charset="-127"/>
                        <a:ea typeface="Batang" panose="02030600000101010101" pitchFamily="18" charset="-127"/>
                      </a:rPr>
                      <a:t>HR </a:t>
                    </a:r>
                  </a:p>
                  <a:p>
                    <a:fld id="{F83F79B8-C711-4080-A8FB-4E789EF7EC21}" type="VALUE">
                      <a:rPr lang="en-US" b="1">
                        <a:latin typeface="Batang" panose="02030600000101010101" pitchFamily="18" charset="-127"/>
                        <a:ea typeface="Batang" panose="02030600000101010101" pitchFamily="18" charset="-127"/>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0AD-46E0-A775-701D2EF36A46}"/>
                </c:ext>
              </c:extLst>
            </c:dLbl>
            <c:dLbl>
              <c:idx val="1"/>
              <c:tx>
                <c:rich>
                  <a:bodyPr/>
                  <a:lstStyle/>
                  <a:p>
                    <a:r>
                      <a:rPr lang="en-US" sz="900" b="1">
                        <a:latin typeface="Batang" panose="02030600000101010101" pitchFamily="18" charset="-127"/>
                        <a:ea typeface="Batang" panose="02030600000101010101" pitchFamily="18" charset="-127"/>
                      </a:rPr>
                      <a:t>R &amp;D</a:t>
                    </a:r>
                  </a:p>
                  <a:p>
                    <a:r>
                      <a:rPr lang="en-US" sz="900" b="1">
                        <a:latin typeface="Batang" panose="02030600000101010101" pitchFamily="18" charset="-127"/>
                        <a:ea typeface="Batang" panose="02030600000101010101" pitchFamily="18" charset="-127"/>
                      </a:rPr>
                      <a:t>56.12</a:t>
                    </a:r>
                    <a:r>
                      <a:rPr lang="en-US" sz="900">
                        <a:latin typeface="Batang" panose="02030600000101010101" pitchFamily="18" charset="-127"/>
                        <a:ea typeface="Batang" panose="02030600000101010101" pitchFamily="18" charset="-127"/>
                      </a:rPr>
                      <a:t>%</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0AD-46E0-A775-701D2EF36A46}"/>
                </c:ext>
              </c:extLst>
            </c:dLbl>
            <c:dLbl>
              <c:idx val="2"/>
              <c:tx>
                <c:rich>
                  <a:bodyPr/>
                  <a:lstStyle/>
                  <a:p>
                    <a:r>
                      <a:rPr lang="en-US" b="1">
                        <a:latin typeface="Batang" panose="02030600000101010101" pitchFamily="18" charset="-127"/>
                        <a:ea typeface="Batang" panose="02030600000101010101" pitchFamily="18" charset="-127"/>
                      </a:rPr>
                      <a:t>Sales</a:t>
                    </a:r>
                  </a:p>
                  <a:p>
                    <a:fld id="{F2BC0231-AB63-4C11-919C-0237AD89DF1E}" type="VALUE">
                      <a:rPr lang="en-US" b="1">
                        <a:latin typeface="Batang" panose="02030600000101010101" pitchFamily="18" charset="-127"/>
                        <a:ea typeface="Batang" panose="02030600000101010101" pitchFamily="18" charset="-127"/>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0AD-46E0-A775-701D2EF36A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val>
            <c:numRef>
              <c:f>'Department-wise Attrition'!$G$4:$G$6</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0AD-46E0-A775-701D2EF36A4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31750"/>
    </a:effectLst>
    <a:scene3d>
      <a:camera prst="orthographicFront"/>
      <a:lightRig rig="threePt" dir="t"/>
    </a:scene3d>
    <a:sp3d prstMaterial="matte">
      <a:bevelT w="127000" h="63500"/>
    </a:sp3d>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Project.xlsx]Education wise Attrition!PivotTable4</c:name>
    <c:fmtId val="5"/>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innerShdw blurRad="114300">
              <a:prstClr val="black"/>
            </a:innerShdw>
          </a:effectLst>
          <a:scene3d>
            <a:camera prst="orthographicFront"/>
            <a:lightRig rig="threePt" dir="t"/>
          </a:scene3d>
          <a:sp3d>
            <a:bevelT w="139700" h="139700"/>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innerShdw blurRad="114300">
              <a:prstClr val="black"/>
            </a:inn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innerShdw blurRad="114300">
              <a:prstClr val="black"/>
            </a:innerShdw>
          </a:effectLst>
          <a:scene3d>
            <a:camera prst="orthographicFront"/>
            <a:lightRig rig="threePt" dir="t"/>
          </a:scene3d>
          <a:sp3d>
            <a:bevelT w="139700" h="139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innerShdw blurRad="114300">
                <a:prstClr val="black"/>
              </a:innerShdw>
            </a:effectLst>
            <a:scene3d>
              <a:camera prst="orthographicFront"/>
              <a:lightRig rig="threePt" dir="t"/>
            </a:scene3d>
            <a:sp3d>
              <a:bevelT w="139700" h="139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'Education wise Attrition'!$A$3:$A$8</c:f>
              <c:strCache>
                <c:ptCount val="5"/>
                <c:pt idx="0">
                  <c:v>Associates Degree</c:v>
                </c:pt>
                <c:pt idx="1">
                  <c:v>Bachelor's Degree</c:v>
                </c:pt>
                <c:pt idx="2">
                  <c:v>Doctoral Degree</c:v>
                </c:pt>
                <c:pt idx="3">
                  <c:v>High School</c:v>
                </c:pt>
                <c:pt idx="4">
                  <c:v>Master's Degree</c:v>
                </c:pt>
              </c:strCache>
            </c:strRef>
          </c:cat>
          <c:val>
            <c:numRef>
              <c:f>'Education wise Attrition'!$B$3:$B$8</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E939-44B8-8334-E8455925C039}"/>
            </c:ext>
          </c:extLst>
        </c:ser>
        <c:dLbls>
          <c:dLblPos val="outEnd"/>
          <c:showLegendKey val="0"/>
          <c:showVal val="1"/>
          <c:showCatName val="0"/>
          <c:showSerName val="0"/>
          <c:showPercent val="0"/>
          <c:showBubbleSize val="0"/>
        </c:dLbls>
        <c:gapWidth val="100"/>
        <c:axId val="565517488"/>
        <c:axId val="565518320"/>
      </c:barChart>
      <c:catAx>
        <c:axId val="56551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18320"/>
        <c:crosses val="autoZero"/>
        <c:auto val="1"/>
        <c:lblAlgn val="ctr"/>
        <c:lblOffset val="100"/>
        <c:noMultiLvlLbl val="0"/>
      </c:catAx>
      <c:valAx>
        <c:axId val="56551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551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oftEdge rad="12700"/>
    </a:effectLst>
    <a:scene3d>
      <a:camera prst="orthographicFront"/>
      <a:lightRig rig="brightRoom" dir="t">
        <a:rot lat="0" lon="0" rev="600000"/>
      </a:lightRig>
    </a:scene3d>
    <a:sp3d prstMaterial="metal">
      <a:bevelT w="38100" h="57150"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19969378827651"/>
          <c:y val="5.0925887204941823E-2"/>
          <c:w val="0.53888888888888886"/>
          <c:h val="0.89814814814814814"/>
        </c:manualLayout>
      </c:layout>
      <c:doughnutChart>
        <c:varyColors val="1"/>
        <c:ser>
          <c:idx val="0"/>
          <c:order val="0"/>
          <c:spPr>
            <a:solidFill>
              <a:schemeClr val="bg1">
                <a:lumMod val="95000"/>
              </a:schemeClr>
            </a:solidFill>
            <a:ln>
              <a:solidFill>
                <a:schemeClr val="accent1"/>
              </a:solidFill>
            </a:ln>
          </c:spPr>
          <c:dPt>
            <c:idx val="0"/>
            <c:bubble3D val="0"/>
            <c:spPr>
              <a:solidFill>
                <a:schemeClr val="accent1"/>
              </a:solidFill>
              <a:ln w="9525" cap="flat" cmpd="sng" algn="ctr">
                <a:solidFill>
                  <a:schemeClr val="accent1"/>
                </a:solidFill>
                <a:round/>
              </a:ln>
              <a:effectLst/>
            </c:spPr>
            <c:extLst>
              <c:ext xmlns:c16="http://schemas.microsoft.com/office/drawing/2014/chart" uri="{C3380CC4-5D6E-409C-BE32-E72D297353CC}">
                <c16:uniqueId val="{00000001-3E84-47FA-9396-D250C9A892C2}"/>
              </c:ext>
            </c:extLst>
          </c:dPt>
          <c:dPt>
            <c:idx val="1"/>
            <c:bubble3D val="0"/>
            <c:spPr>
              <a:solidFill>
                <a:schemeClr val="bg1">
                  <a:lumMod val="95000"/>
                </a:schemeClr>
              </a:solidFill>
              <a:ln w="9525" cap="flat" cmpd="sng" algn="ctr">
                <a:solidFill>
                  <a:schemeClr val="accent1"/>
                </a:solidFill>
                <a:round/>
              </a:ln>
              <a:effectLst/>
            </c:spPr>
            <c:extLst>
              <c:ext xmlns:c16="http://schemas.microsoft.com/office/drawing/2014/chart" uri="{C3380CC4-5D6E-409C-BE32-E72D297353CC}">
                <c16:uniqueId val="{00000003-3E84-47FA-9396-D250C9A892C2}"/>
              </c:ext>
            </c:extLst>
          </c:dPt>
          <c:val>
            <c:numRef>
              <c:f>'Employee by Gender'!$C$9:$C$10</c:f>
              <c:numCache>
                <c:formatCode>0%</c:formatCode>
                <c:ptCount val="2"/>
                <c:pt idx="0">
                  <c:v>0.4</c:v>
                </c:pt>
                <c:pt idx="1">
                  <c:v>0.6</c:v>
                </c:pt>
              </c:numCache>
            </c:numRef>
          </c:val>
          <c:extLst>
            <c:ext xmlns:c16="http://schemas.microsoft.com/office/drawing/2014/chart" uri="{C3380CC4-5D6E-409C-BE32-E72D297353CC}">
              <c16:uniqueId val="{00000004-3E84-47FA-9396-D250C9A892C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D2CE-41F8-8861-1214EE15E43C}"/>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2CE-41F8-8861-1214EE15E43C}"/>
              </c:ext>
            </c:extLst>
          </c:dPt>
          <c:val>
            <c:numRef>
              <c:f>'Employee by Gender'!$C$9:$C$10</c:f>
              <c:numCache>
                <c:formatCode>0%</c:formatCode>
                <c:ptCount val="2"/>
                <c:pt idx="0">
                  <c:v>0.4</c:v>
                </c:pt>
                <c:pt idx="1">
                  <c:v>0.6</c:v>
                </c:pt>
              </c:numCache>
            </c:numRef>
          </c:val>
          <c:extLst>
            <c:ext xmlns:c16="http://schemas.microsoft.com/office/drawing/2014/chart" uri="{C3380CC4-5D6E-409C-BE32-E72D297353CC}">
              <c16:uniqueId val="{00000004-D2CE-41F8-8861-1214EE15E4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33CCCC"/>
              </a:solidFill>
              <a:ln>
                <a:noFill/>
              </a:ln>
              <a:effectLst/>
            </c:spPr>
            <c:extLst>
              <c:ext xmlns:c16="http://schemas.microsoft.com/office/drawing/2014/chart" uri="{C3380CC4-5D6E-409C-BE32-E72D297353CC}">
                <c16:uniqueId val="{00000001-4CCF-4EE0-9559-C23B259A9F64}"/>
              </c:ext>
            </c:extLst>
          </c:dPt>
          <c:dPt>
            <c:idx val="1"/>
            <c:bubble3D val="0"/>
            <c:spPr>
              <a:solidFill>
                <a:schemeClr val="bg1">
                  <a:lumMod val="95000"/>
                </a:schemeClr>
              </a:solidFill>
              <a:ln>
                <a:noFill/>
              </a:ln>
              <a:effectLst/>
            </c:spPr>
            <c:extLst>
              <c:ext xmlns:c16="http://schemas.microsoft.com/office/drawing/2014/chart" uri="{C3380CC4-5D6E-409C-BE32-E72D297353CC}">
                <c16:uniqueId val="{00000003-4CCF-4EE0-9559-C23B259A9F64}"/>
              </c:ext>
            </c:extLst>
          </c:dPt>
          <c:dLbls>
            <c:delete val="1"/>
          </c:dLbls>
          <c:val>
            <c:numRef>
              <c:f>Ratings!$C$5:$C$6</c:f>
              <c:numCache>
                <c:formatCode>0.00%</c:formatCode>
                <c:ptCount val="2"/>
                <c:pt idx="0">
                  <c:v>0.65663265306122454</c:v>
                </c:pt>
                <c:pt idx="1">
                  <c:v>0.34336734693877546</c:v>
                </c:pt>
              </c:numCache>
            </c:numRef>
          </c:val>
          <c:extLst>
            <c:ext xmlns:c16="http://schemas.microsoft.com/office/drawing/2014/chart" uri="{C3380CC4-5D6E-409C-BE32-E72D297353CC}">
              <c16:uniqueId val="{00000004-4CCF-4EE0-9559-C23B259A9F64}"/>
            </c:ext>
          </c:extLst>
        </c:ser>
        <c:dLbls>
          <c:showLegendKey val="0"/>
          <c:showVal val="0"/>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size">
        <cx:f>_xlchart.v1.3</cx:f>
      </cx:numDim>
    </cx:data>
  </cx:chartData>
  <cx:chart>
    <cx:plotArea>
      <cx:plotAreaRegion>
        <cx:series layoutId="treemap" uniqueId="{6B476FAB-C983-43B0-8AFA-A1B14AF31747}">
          <cx:tx>
            <cx:txData>
              <cx:f>_xlchart.v1.2</cx:f>
              <cx:v>Attrition</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plotArea>
      <cx:plotAreaRegion>
        <cx:series layoutId="funnel" uniqueId="{404A775D-DBA7-426B-87E7-8CCCF4C610F8}">
          <cx:dataLabels>
            <cx:txPr>
              <a:bodyPr spcFirstLastPara="1" vertOverflow="ellipsis" horzOverflow="overflow" wrap="square" lIns="0" tIns="0" rIns="0" bIns="0" anchor="ctr" anchorCtr="1"/>
              <a:lstStyle/>
              <a:p>
                <a:pPr algn="ctr" rtl="0">
                  <a:defRPr sz="1400">
                    <a:latin typeface="Cambria" panose="02040503050406030204" pitchFamily="18" charset="0"/>
                    <a:ea typeface="Cambria" panose="02040503050406030204" pitchFamily="18" charset="0"/>
                    <a:cs typeface="Cambria" panose="02040503050406030204" pitchFamily="18" charset="0"/>
                  </a:defRPr>
                </a:pPr>
                <a:endParaRPr lang="en-US" sz="1400" b="0" i="0" u="none" strike="noStrike" baseline="0">
                  <a:solidFill>
                    <a:sysClr val="windowText" lastClr="000000"/>
                  </a:solidFill>
                  <a:latin typeface="Cambria" panose="02040503050406030204" pitchFamily="18" charset="0"/>
                  <a:ea typeface="Cambria" panose="02040503050406030204" pitchFamily="18" charset="0"/>
                </a:endParaRPr>
              </a:p>
            </cx:txPr>
            <cx:visibility seriesName="0" categoryName="0" value="1"/>
            <cx:separator>, </cx:separator>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404A775D-DBA7-426B-87E7-8CCCF4C610F8}">
          <cx:dataLabels>
            <cx:txPr>
              <a:bodyPr spcFirstLastPara="1" vertOverflow="ellipsis" horzOverflow="overflow" wrap="square" lIns="0" tIns="0" rIns="0" bIns="0" anchor="ctr" anchorCtr="1"/>
              <a:lstStyle/>
              <a:p>
                <a:pPr algn="ctr" rtl="0">
                  <a:defRPr sz="1400">
                    <a:latin typeface="Cambria" panose="02040503050406030204" pitchFamily="18" charset="0"/>
                    <a:ea typeface="Cambria" panose="02040503050406030204" pitchFamily="18" charset="0"/>
                    <a:cs typeface="Cambria" panose="02040503050406030204" pitchFamily="18" charset="0"/>
                  </a:defRPr>
                </a:pPr>
                <a:endParaRPr lang="en-US" sz="1400" b="0" i="0" u="none" strike="noStrike" baseline="0">
                  <a:solidFill>
                    <a:sysClr val="windowText" lastClr="000000"/>
                  </a:solidFill>
                  <a:latin typeface="Cambria" panose="02040503050406030204" pitchFamily="18" charset="0"/>
                  <a:ea typeface="Cambria" panose="02040503050406030204" pitchFamily="18" charset="0"/>
                </a:endParaRPr>
              </a:p>
            </cx:txPr>
            <cx:visibility seriesName="0" categoryName="0" value="1"/>
            <cx:separator>, </cx:separator>
          </cx:dataLabels>
          <cx:dataId val="0"/>
        </cx:series>
      </cx:plotAreaRegion>
      <cx:axis id="0">
        <cx:catScaling gapWidth="0.0599999987"/>
        <cx:tickLabels/>
      </cx:axis>
    </cx:plotArea>
  </cx:chart>
  <cx:spPr>
    <a:solidFill>
      <a:schemeClr val="lt1"/>
    </a:solidFill>
    <a:ln w="12700" cap="flat" cmpd="sng" algn="ctr">
      <a:solidFill>
        <a:schemeClr val="dk1"/>
      </a:solidFill>
      <a:prstDash val="solid"/>
      <a:miter lim="800000"/>
    </a:ln>
    <a:effectLst>
      <a:innerShdw blurRad="63500" dist="50800" dir="16200000">
        <a:prstClr val="black">
          <a:alpha val="50000"/>
        </a:prstClr>
      </a:innerShdw>
      <a:softEdge rad="317500"/>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6B476FAB-C983-43B0-8AFA-A1B14AF31747}">
          <cx:tx>
            <cx:txData>
              <cx:f>_xlchart.v1.11</cx:f>
              <cx:v>Attrition</cx:v>
            </cx:txData>
          </cx:tx>
          <cx:dataLabels>
            <cx:visibility seriesName="0" categoryName="1" value="0"/>
          </cx:dataLabels>
          <cx:dataId val="0"/>
          <cx:layoutPr>
            <cx:parentLabelLayout val="overlapping"/>
          </cx:layoutPr>
        </cx:series>
      </cx:plotAreaRegion>
    </cx:plotArea>
  </cx:chart>
  <cx:spPr>
    <a:effectLst>
      <a:softEdge rad="31750"/>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microsoft.com/office/2014/relationships/chartEx" Target="../charts/chartEx3.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7</xdr:col>
      <xdr:colOff>66675</xdr:colOff>
      <xdr:row>1</xdr:row>
      <xdr:rowOff>66676</xdr:rowOff>
    </xdr:from>
    <xdr:to>
      <xdr:col>10</xdr:col>
      <xdr:colOff>66675</xdr:colOff>
      <xdr:row>7</xdr:row>
      <xdr:rowOff>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745B88D5-A1B8-4470-AC43-06F67B3045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705725" y="257176"/>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485775</xdr:colOff>
      <xdr:row>3</xdr:row>
      <xdr:rowOff>185737</xdr:rowOff>
    </xdr:from>
    <xdr:to>
      <xdr:col>11</xdr:col>
      <xdr:colOff>600075</xdr:colOff>
      <xdr:row>13</xdr:row>
      <xdr:rowOff>133350</xdr:rowOff>
    </xdr:to>
    <xdr:graphicFrame macro="">
      <xdr:nvGraphicFramePr>
        <xdr:cNvPr id="2" name="Chart 1">
          <a:extLst>
            <a:ext uri="{FF2B5EF4-FFF2-40B4-BE49-F238E27FC236}">
              <a16:creationId xmlns:a16="http://schemas.microsoft.com/office/drawing/2014/main" id="{6078A173-93D7-4FD1-BE12-A5E73DFC5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219075</xdr:colOff>
      <xdr:row>6</xdr:row>
      <xdr:rowOff>171451</xdr:rowOff>
    </xdr:from>
    <xdr:to>
      <xdr:col>15</xdr:col>
      <xdr:colOff>219075</xdr:colOff>
      <xdr:row>17</xdr:row>
      <xdr:rowOff>171451</xdr:rowOff>
    </xdr:to>
    <mc:AlternateContent xmlns:mc="http://schemas.openxmlformats.org/markup-compatibility/2006">
      <mc:Choice xmlns:a14="http://schemas.microsoft.com/office/drawing/2010/main" Requires="a14">
        <xdr:graphicFrame macro="">
          <xdr:nvGraphicFramePr>
            <xdr:cNvPr id="3" name="Education Field">
              <a:extLst>
                <a:ext uri="{FF2B5EF4-FFF2-40B4-BE49-F238E27FC236}">
                  <a16:creationId xmlns:a16="http://schemas.microsoft.com/office/drawing/2014/main" id="{54A1CBA1-5D77-4BB7-BA50-31A770AAB98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601075" y="131445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0</xdr:row>
      <xdr:rowOff>171450</xdr:rowOff>
    </xdr:from>
    <xdr:to>
      <xdr:col>15</xdr:col>
      <xdr:colOff>152400</xdr:colOff>
      <xdr:row>6</xdr:row>
      <xdr:rowOff>28575</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55717A5A-BB7E-46A9-BD76-6317317B94C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534400" y="171450"/>
              <a:ext cx="1828800"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11</xdr:row>
      <xdr:rowOff>157162</xdr:rowOff>
    </xdr:from>
    <xdr:to>
      <xdr:col>5</xdr:col>
      <xdr:colOff>123825</xdr:colOff>
      <xdr:row>23</xdr:row>
      <xdr:rowOff>142875</xdr:rowOff>
    </xdr:to>
    <xdr:graphicFrame macro="">
      <xdr:nvGraphicFramePr>
        <xdr:cNvPr id="2" name="Chart 1">
          <a:extLst>
            <a:ext uri="{FF2B5EF4-FFF2-40B4-BE49-F238E27FC236}">
              <a16:creationId xmlns:a16="http://schemas.microsoft.com/office/drawing/2014/main" id="{E3F57360-A9E8-450B-9CF3-5F139D170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12</xdr:row>
      <xdr:rowOff>9525</xdr:rowOff>
    </xdr:from>
    <xdr:to>
      <xdr:col>11</xdr:col>
      <xdr:colOff>561975</xdr:colOff>
      <xdr:row>23</xdr:row>
      <xdr:rowOff>95250</xdr:rowOff>
    </xdr:to>
    <xdr:graphicFrame macro="">
      <xdr:nvGraphicFramePr>
        <xdr:cNvPr id="4" name="Chart 3">
          <a:extLst>
            <a:ext uri="{FF2B5EF4-FFF2-40B4-BE49-F238E27FC236}">
              <a16:creationId xmlns:a16="http://schemas.microsoft.com/office/drawing/2014/main" id="{08B5C0B1-9580-473C-B00E-2D966F0F5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104775</xdr:colOff>
      <xdr:row>0</xdr:row>
      <xdr:rowOff>28576</xdr:rowOff>
    </xdr:from>
    <xdr:to>
      <xdr:col>7</xdr:col>
      <xdr:colOff>104775</xdr:colOff>
      <xdr:row>10</xdr:row>
      <xdr:rowOff>161926</xdr:rowOff>
    </xdr:to>
    <mc:AlternateContent xmlns:mc="http://schemas.openxmlformats.org/markup-compatibility/2006">
      <mc:Choice xmlns:a14="http://schemas.microsoft.com/office/drawing/2010/main" Requires="a14">
        <xdr:graphicFrame macro="">
          <xdr:nvGraphicFramePr>
            <xdr:cNvPr id="5" name="Education Field 1">
              <a:extLst>
                <a:ext uri="{FF2B5EF4-FFF2-40B4-BE49-F238E27FC236}">
                  <a16:creationId xmlns:a16="http://schemas.microsoft.com/office/drawing/2014/main" id="{941C4395-E605-4E60-9952-971A12ADFE7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086225" y="28576"/>
              <a:ext cx="1828800" cy="2038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1</xdr:row>
      <xdr:rowOff>190499</xdr:rowOff>
    </xdr:from>
    <xdr:to>
      <xdr:col>13</xdr:col>
      <xdr:colOff>0</xdr:colOff>
      <xdr:row>6</xdr:row>
      <xdr:rowOff>0</xdr:rowOff>
    </xdr:to>
    <mc:AlternateContent xmlns:mc="http://schemas.openxmlformats.org/markup-compatibility/2006">
      <mc:Choice xmlns:a14="http://schemas.microsoft.com/office/drawing/2010/main" Requires="a14">
        <xdr:graphicFrame macro="">
          <xdr:nvGraphicFramePr>
            <xdr:cNvPr id="6" name="Gender 2">
              <a:extLst>
                <a:ext uri="{FF2B5EF4-FFF2-40B4-BE49-F238E27FC236}">
                  <a16:creationId xmlns:a16="http://schemas.microsoft.com/office/drawing/2014/main" id="{A8903BB4-18AE-49A2-A19C-0C021F37D16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6115050" y="380999"/>
              <a:ext cx="3352800" cy="762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428625</xdr:colOff>
      <xdr:row>9</xdr:row>
      <xdr:rowOff>57150</xdr:rowOff>
    </xdr:from>
    <xdr:to>
      <xdr:col>1</xdr:col>
      <xdr:colOff>1095375</xdr:colOff>
      <xdr:row>22</xdr:row>
      <xdr:rowOff>104775</xdr:rowOff>
    </xdr:to>
    <mc:AlternateContent xmlns:mc="http://schemas.openxmlformats.org/markup-compatibility/2006">
      <mc:Choice xmlns:a14="http://schemas.microsoft.com/office/drawing/2010/main" Requires="a14">
        <xdr:graphicFrame macro="">
          <xdr:nvGraphicFramePr>
            <xdr:cNvPr id="3" name="Education Field 2">
              <a:extLst>
                <a:ext uri="{FF2B5EF4-FFF2-40B4-BE49-F238E27FC236}">
                  <a16:creationId xmlns:a16="http://schemas.microsoft.com/office/drawing/2014/main" id="{93839FB5-D7DE-493D-9BAD-01436B277FC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428625" y="177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6</xdr:row>
      <xdr:rowOff>138112</xdr:rowOff>
    </xdr:from>
    <xdr:to>
      <xdr:col>11</xdr:col>
      <xdr:colOff>76200</xdr:colOff>
      <xdr:row>21</xdr:row>
      <xdr:rowOff>23812</xdr:rowOff>
    </xdr:to>
    <xdr:graphicFrame macro="">
      <xdr:nvGraphicFramePr>
        <xdr:cNvPr id="4" name="Chart 3">
          <a:extLst>
            <a:ext uri="{FF2B5EF4-FFF2-40B4-BE49-F238E27FC236}">
              <a16:creationId xmlns:a16="http://schemas.microsoft.com/office/drawing/2014/main" id="{DEE2979D-DE84-4614-8E88-146E01535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704850</xdr:colOff>
      <xdr:row>12</xdr:row>
      <xdr:rowOff>128587</xdr:rowOff>
    </xdr:from>
    <xdr:to>
      <xdr:col>11</xdr:col>
      <xdr:colOff>371475</xdr:colOff>
      <xdr:row>27</xdr:row>
      <xdr:rowOff>14287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C48CE6F-457D-4757-8A71-6D5A3E511B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71725" y="2414587"/>
              <a:ext cx="90868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66675</xdr:colOff>
      <xdr:row>9</xdr:row>
      <xdr:rowOff>14287</xdr:rowOff>
    </xdr:from>
    <xdr:to>
      <xdr:col>10</xdr:col>
      <xdr:colOff>171450</xdr:colOff>
      <xdr:row>23</xdr:row>
      <xdr:rowOff>90487</xdr:rowOff>
    </xdr:to>
    <xdr:graphicFrame macro="">
      <xdr:nvGraphicFramePr>
        <xdr:cNvPr id="2" name="Chart 1">
          <a:extLst>
            <a:ext uri="{FF2B5EF4-FFF2-40B4-BE49-F238E27FC236}">
              <a16:creationId xmlns:a16="http://schemas.microsoft.com/office/drawing/2014/main" id="{7B42BB6D-4CA4-4420-BA6B-4C382A3D4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190500</xdr:colOff>
      <xdr:row>6</xdr:row>
      <xdr:rowOff>90487</xdr:rowOff>
    </xdr:from>
    <xdr:to>
      <xdr:col>10</xdr:col>
      <xdr:colOff>495300</xdr:colOff>
      <xdr:row>20</xdr:row>
      <xdr:rowOff>166687</xdr:rowOff>
    </xdr:to>
    <xdr:graphicFrame macro="">
      <xdr:nvGraphicFramePr>
        <xdr:cNvPr id="2" name="Chart 1">
          <a:extLst>
            <a:ext uri="{FF2B5EF4-FFF2-40B4-BE49-F238E27FC236}">
              <a16:creationId xmlns:a16="http://schemas.microsoft.com/office/drawing/2014/main" id="{709223C5-F94A-4C9C-94F1-2FA393E62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485775</xdr:colOff>
      <xdr:row>6</xdr:row>
      <xdr:rowOff>152400</xdr:rowOff>
    </xdr:from>
    <xdr:to>
      <xdr:col>1</xdr:col>
      <xdr:colOff>1438275</xdr:colOff>
      <xdr:row>20</xdr:row>
      <xdr:rowOff>9525</xdr:rowOff>
    </xdr:to>
    <mc:AlternateContent xmlns:mc="http://schemas.openxmlformats.org/markup-compatibility/2006">
      <mc:Choice xmlns:a14="http://schemas.microsoft.com/office/drawing/2010/main" Requires="a14">
        <xdr:graphicFrame macro="">
          <xdr:nvGraphicFramePr>
            <xdr:cNvPr id="2" name="Marital Status">
              <a:extLst>
                <a:ext uri="{FF2B5EF4-FFF2-40B4-BE49-F238E27FC236}">
                  <a16:creationId xmlns:a16="http://schemas.microsoft.com/office/drawing/2014/main" id="{2C7C5760-A813-45CC-96DA-1946058500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85775" y="1295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6</xdr:row>
      <xdr:rowOff>180975</xdr:rowOff>
    </xdr:from>
    <xdr:to>
      <xdr:col>4</xdr:col>
      <xdr:colOff>409575</xdr:colOff>
      <xdr:row>20</xdr:row>
      <xdr:rowOff>38100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2936AFBA-5F6B-4261-9BB3-8CC1332F45F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638425" y="1323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15</xdr:row>
      <xdr:rowOff>9525</xdr:rowOff>
    </xdr:from>
    <xdr:to>
      <xdr:col>4</xdr:col>
      <xdr:colOff>485775</xdr:colOff>
      <xdr:row>28</xdr:row>
      <xdr:rowOff>57150</xdr:rowOff>
    </xdr:to>
    <mc:AlternateContent xmlns:mc="http://schemas.openxmlformats.org/markup-compatibility/2006">
      <mc:Choice xmlns:a14="http://schemas.microsoft.com/office/drawing/2010/main" Requires="a14">
        <xdr:graphicFrame macro="">
          <xdr:nvGraphicFramePr>
            <xdr:cNvPr id="4" name="Education Field 3">
              <a:extLst>
                <a:ext uri="{FF2B5EF4-FFF2-40B4-BE49-F238E27FC236}">
                  <a16:creationId xmlns:a16="http://schemas.microsoft.com/office/drawing/2014/main" id="{4EE5C43A-D478-4A19-991C-8D96629EEFDE}"/>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2714625" y="2867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28575</xdr:colOff>
      <xdr:row>6</xdr:row>
      <xdr:rowOff>166687</xdr:rowOff>
    </xdr:from>
    <xdr:to>
      <xdr:col>13</xdr:col>
      <xdr:colOff>333375</xdr:colOff>
      <xdr:row>21</xdr:row>
      <xdr:rowOff>52387</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C2070B8D-CBDC-4FAE-A03E-0B165D8640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7325" y="13096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23</xdr:col>
      <xdr:colOff>190500</xdr:colOff>
      <xdr:row>35</xdr:row>
      <xdr:rowOff>152400</xdr:rowOff>
    </xdr:to>
    <xdr:grpSp>
      <xdr:nvGrpSpPr>
        <xdr:cNvPr id="2" name="Group 1">
          <a:extLst>
            <a:ext uri="{FF2B5EF4-FFF2-40B4-BE49-F238E27FC236}">
              <a16:creationId xmlns:a16="http://schemas.microsoft.com/office/drawing/2014/main" id="{92A3E99C-7E53-4067-8D56-39F4B910D075}"/>
            </a:ext>
          </a:extLst>
        </xdr:cNvPr>
        <xdr:cNvGrpSpPr/>
      </xdr:nvGrpSpPr>
      <xdr:grpSpPr>
        <a:xfrm>
          <a:off x="1227667" y="381000"/>
          <a:ext cx="13081000" cy="6438900"/>
          <a:chOff x="1752600" y="190500"/>
          <a:chExt cx="13468350" cy="7776000"/>
        </a:xfrm>
      </xdr:grpSpPr>
      <xdr:sp macro="" textlink="">
        <xdr:nvSpPr>
          <xdr:cNvPr id="3" name="Rectangle: Rounded Corners 2">
            <a:extLst>
              <a:ext uri="{FF2B5EF4-FFF2-40B4-BE49-F238E27FC236}">
                <a16:creationId xmlns:a16="http://schemas.microsoft.com/office/drawing/2014/main" id="{D9B99026-2525-423A-8510-19FA27443F01}"/>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3A0DEE63-237B-4BBB-BC7A-7167134B6744}"/>
              </a:ext>
            </a:extLst>
          </xdr:cNvPr>
          <xdr:cNvSpPr/>
        </xdr:nvSpPr>
        <xdr:spPr>
          <a:xfrm>
            <a:off x="1852449" y="276735"/>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4400" kern="1200">
                <a:solidFill>
                  <a:sysClr val="windowText" lastClr="000000"/>
                </a:solidFill>
                <a:effectLst/>
                <a:latin typeface="Cambria" panose="02040503050406030204" pitchFamily="18" charset="0"/>
                <a:ea typeface="Cambria" panose="02040503050406030204" pitchFamily="18" charset="0"/>
                <a:cs typeface="+mn-cs"/>
              </a:rPr>
              <a:t>HR ANALYTICS DASHBOARD</a:t>
            </a:r>
            <a:endParaRPr lang="en-IN" sz="4400">
              <a:solidFill>
                <a:sysClr val="windowText" lastClr="000000"/>
              </a:solidFill>
              <a:latin typeface="Cambria" panose="02040503050406030204" pitchFamily="18" charset="0"/>
              <a:ea typeface="Cambria" panose="02040503050406030204" pitchFamily="18" charset="0"/>
            </a:endParaRPr>
          </a:p>
        </xdr:txBody>
      </xdr:sp>
      <xdr:sp macro="" textlink="">
        <xdr:nvSpPr>
          <xdr:cNvPr id="5" name="Rectangle: Rounded Corners 4">
            <a:extLst>
              <a:ext uri="{FF2B5EF4-FFF2-40B4-BE49-F238E27FC236}">
                <a16:creationId xmlns:a16="http://schemas.microsoft.com/office/drawing/2014/main" id="{8340AB6F-DEAD-4711-B094-F113BD436701}"/>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600">
              <a:solidFill>
                <a:sysClr val="windowText" lastClr="000000"/>
              </a:solidFill>
              <a:latin typeface="Cambria" panose="02040503050406030204" pitchFamily="18" charset="0"/>
              <a:ea typeface="Cambria" panose="02040503050406030204" pitchFamily="18" charset="0"/>
            </a:endParaRPr>
          </a:p>
        </xdr:txBody>
      </xdr:sp>
      <xdr:sp macro="" textlink="">
        <xdr:nvSpPr>
          <xdr:cNvPr id="6" name="Rectangle: Rounded Corners 5">
            <a:extLst>
              <a:ext uri="{FF2B5EF4-FFF2-40B4-BE49-F238E27FC236}">
                <a16:creationId xmlns:a16="http://schemas.microsoft.com/office/drawing/2014/main" id="{5801E9E5-A76C-45C4-9357-437384AA828C}"/>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ysClr val="windowText" lastClr="000000"/>
                </a:solidFill>
                <a:latin typeface="Berlin Sans FB" panose="020E0602020502020306" pitchFamily="34" charset="0"/>
              </a:rPr>
              <a:t>Attrition By Education</a:t>
            </a:r>
          </a:p>
        </xdr:txBody>
      </xdr:sp>
      <xdr:grpSp>
        <xdr:nvGrpSpPr>
          <xdr:cNvPr id="7" name="Group 6">
            <a:extLst>
              <a:ext uri="{FF2B5EF4-FFF2-40B4-BE49-F238E27FC236}">
                <a16:creationId xmlns:a16="http://schemas.microsoft.com/office/drawing/2014/main" id="{CA390CF2-8BBC-4386-829E-0F811CA07248}"/>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BCD8B9B5-3D48-48C9-A01B-191C38338C15}"/>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kern="1200">
                  <a:solidFill>
                    <a:sysClr val="windowText" lastClr="000000"/>
                  </a:solidFill>
                  <a:effectLst/>
                  <a:latin typeface="Berlin Sans FB" panose="020E0602020502020306" pitchFamily="34" charset="0"/>
                  <a:ea typeface="+mn-ea"/>
                  <a:cs typeface="+mn-cs"/>
                </a:rPr>
                <a:t>TOTAL EMPLOYEES</a:t>
              </a:r>
              <a:endParaRPr lang="en-IN">
                <a:solidFill>
                  <a:sysClr val="windowText" lastClr="000000"/>
                </a:solidFill>
                <a:effectLst/>
                <a:latin typeface="Berlin Sans FB" panose="020E0602020502020306" pitchFamily="34" charset="0"/>
              </a:endParaRPr>
            </a:p>
            <a:p>
              <a:pPr algn="l"/>
              <a:endParaRPr lang="en-IN"/>
            </a:p>
          </xdr:txBody>
        </xdr:sp>
        <xdr:sp macro="" textlink="">
          <xdr:nvSpPr>
            <xdr:cNvPr id="23" name="Rectangle: Rounded Corners 22">
              <a:extLst>
                <a:ext uri="{FF2B5EF4-FFF2-40B4-BE49-F238E27FC236}">
                  <a16:creationId xmlns:a16="http://schemas.microsoft.com/office/drawing/2014/main" id="{9428F949-4BD9-4FF0-92A1-B71456FFB128}"/>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GB" sz="1800" kern="1200">
                  <a:solidFill>
                    <a:sysClr val="windowText" lastClr="000000"/>
                  </a:solidFill>
                  <a:effectLst/>
                  <a:latin typeface="Berlin Sans FB" panose="020E0602020502020306" pitchFamily="34" charset="0"/>
                  <a:ea typeface="+mn-ea"/>
                  <a:cs typeface="+mn-cs"/>
                </a:rPr>
                <a:t>ATTRITION</a:t>
              </a:r>
              <a:endParaRPr lang="en-IN">
                <a:solidFill>
                  <a:sysClr val="windowText" lastClr="000000"/>
                </a:solidFill>
                <a:latin typeface="Berlin Sans FB" panose="020E0602020502020306" pitchFamily="34" charset="0"/>
              </a:endParaRPr>
            </a:p>
          </xdr:txBody>
        </xdr:sp>
        <xdr:sp macro="" textlink="">
          <xdr:nvSpPr>
            <xdr:cNvPr id="24" name="Rectangle: Rounded Corners 23">
              <a:extLst>
                <a:ext uri="{FF2B5EF4-FFF2-40B4-BE49-F238E27FC236}">
                  <a16:creationId xmlns:a16="http://schemas.microsoft.com/office/drawing/2014/main" id="{265D9032-CB2A-4000-9B1B-356F2963E5A5}"/>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kern="1200">
                  <a:solidFill>
                    <a:sysClr val="windowText" lastClr="000000"/>
                  </a:solidFill>
                  <a:effectLst/>
                  <a:latin typeface="Berlin Sans FB" panose="020E0602020502020306" pitchFamily="34" charset="0"/>
                  <a:ea typeface="+mn-ea"/>
                  <a:cs typeface="+mn-cs"/>
                </a:rPr>
                <a:t>ACTIVE EMPLOYEE</a:t>
              </a:r>
              <a:endParaRPr lang="en-IN">
                <a:solidFill>
                  <a:sysClr val="windowText" lastClr="000000"/>
                </a:solidFill>
                <a:effectLst/>
                <a:latin typeface="Berlin Sans FB" panose="020E0602020502020306" pitchFamily="34" charset="0"/>
              </a:endParaRPr>
            </a:p>
            <a:p>
              <a:pPr algn="ctr"/>
              <a:endParaRPr lang="en-IN"/>
            </a:p>
          </xdr:txBody>
        </xdr:sp>
        <xdr:sp macro="" textlink="">
          <xdr:nvSpPr>
            <xdr:cNvPr id="25" name="Rectangle: Rounded Corners 24">
              <a:extLst>
                <a:ext uri="{FF2B5EF4-FFF2-40B4-BE49-F238E27FC236}">
                  <a16:creationId xmlns:a16="http://schemas.microsoft.com/office/drawing/2014/main" id="{38DBFBE2-A6CF-4256-B7AD-18B53493155F}"/>
                </a:ext>
              </a:extLst>
            </xdr:cNvPr>
            <xdr:cNvSpPr/>
          </xdr:nvSpPr>
          <xdr:spPr>
            <a:xfrm>
              <a:off x="9970465"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kern="1200">
                  <a:solidFill>
                    <a:sysClr val="windowText" lastClr="000000"/>
                  </a:solidFill>
                  <a:effectLst/>
                  <a:latin typeface="Berlin Sans FB" panose="020E0602020502020306" pitchFamily="34" charset="0"/>
                  <a:ea typeface="+mn-ea"/>
                  <a:cs typeface="+mn-cs"/>
                </a:rPr>
                <a:t>ATTRITION RATE</a:t>
              </a:r>
              <a:endParaRPr lang="en-IN">
                <a:solidFill>
                  <a:sysClr val="windowText" lastClr="000000"/>
                </a:solidFill>
                <a:effectLst/>
                <a:latin typeface="Berlin Sans FB" panose="020E0602020502020306" pitchFamily="34" charset="0"/>
              </a:endParaRPr>
            </a:p>
            <a:p>
              <a:pPr algn="ctr"/>
              <a:endParaRPr lang="en-IN"/>
            </a:p>
          </xdr:txBody>
        </xdr:sp>
        <xdr:sp macro="" textlink="">
          <xdr:nvSpPr>
            <xdr:cNvPr id="26" name="Rectangle: Rounded Corners 25">
              <a:extLst>
                <a:ext uri="{FF2B5EF4-FFF2-40B4-BE49-F238E27FC236}">
                  <a16:creationId xmlns:a16="http://schemas.microsoft.com/office/drawing/2014/main" id="{A9E36619-0F79-469F-8E40-FB58C844456A}"/>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kern="1200">
                  <a:solidFill>
                    <a:sysClr val="windowText" lastClr="000000"/>
                  </a:solidFill>
                  <a:effectLst/>
                  <a:latin typeface="Berlin Sans FB" panose="020E0602020502020306" pitchFamily="34" charset="0"/>
                  <a:ea typeface="+mn-ea"/>
                  <a:cs typeface="+mn-cs"/>
                </a:rPr>
                <a:t>AVERAGE</a:t>
              </a:r>
              <a:r>
                <a:rPr lang="en-GB" sz="1800" kern="1200" baseline="0">
                  <a:solidFill>
                    <a:sysClr val="windowText" lastClr="000000"/>
                  </a:solidFill>
                  <a:effectLst/>
                  <a:latin typeface="Berlin Sans FB" panose="020E0602020502020306" pitchFamily="34" charset="0"/>
                  <a:ea typeface="+mn-ea"/>
                  <a:cs typeface="+mn-cs"/>
                </a:rPr>
                <a:t> AGE</a:t>
              </a:r>
              <a:endParaRPr lang="en-IN">
                <a:solidFill>
                  <a:sysClr val="windowText" lastClr="000000"/>
                </a:solidFill>
                <a:effectLst/>
                <a:latin typeface="Berlin Sans FB" panose="020E0602020502020306" pitchFamily="34" charset="0"/>
              </a:endParaRPr>
            </a:p>
            <a:p>
              <a:pPr algn="ctr"/>
              <a:endParaRPr lang="en-IN"/>
            </a:p>
          </xdr:txBody>
        </xdr:sp>
      </xdr:grpSp>
      <xdr:grpSp>
        <xdr:nvGrpSpPr>
          <xdr:cNvPr id="8" name="Group 7">
            <a:extLst>
              <a:ext uri="{FF2B5EF4-FFF2-40B4-BE49-F238E27FC236}">
                <a16:creationId xmlns:a16="http://schemas.microsoft.com/office/drawing/2014/main" id="{CDE825A6-98FA-4476-B832-FC6C9CFBD86E}"/>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E1E23D35-102D-465A-B726-D86D8CD660C9}"/>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ysClr val="windowText" lastClr="000000"/>
                  </a:solidFill>
                  <a:latin typeface="Berlin Sans FB" panose="020E0602020502020306" pitchFamily="34" charset="0"/>
                </a:rPr>
                <a:t>Department</a:t>
              </a:r>
            </a:p>
          </xdr:txBody>
        </xdr:sp>
        <xdr:cxnSp macro="">
          <xdr:nvCxnSpPr>
            <xdr:cNvPr id="21" name="Straight Connector 20">
              <a:extLst>
                <a:ext uri="{FF2B5EF4-FFF2-40B4-BE49-F238E27FC236}">
                  <a16:creationId xmlns:a16="http://schemas.microsoft.com/office/drawing/2014/main" id="{EAA31BD8-3D9F-4208-A6E8-18F429166DC5}"/>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56CDDA95-A874-4452-B015-074DA219CD5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41F6F581-FAFE-4FA1-B2B1-650DE6B832F8}"/>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ysClr val="windowText" lastClr="000000"/>
                </a:solidFill>
                <a:latin typeface="Berlin Sans FB" panose="020E0602020502020306" pitchFamily="34" charset="0"/>
              </a:rPr>
              <a:t>Attrition By Job Role</a:t>
            </a:r>
          </a:p>
        </xdr:txBody>
      </xdr:sp>
      <xdr:cxnSp macro="">
        <xdr:nvCxnSpPr>
          <xdr:cNvPr id="11" name="Straight Connector 10">
            <a:extLst>
              <a:ext uri="{FF2B5EF4-FFF2-40B4-BE49-F238E27FC236}">
                <a16:creationId xmlns:a16="http://schemas.microsoft.com/office/drawing/2014/main" id="{1C56DFA0-EC4B-4CF6-ADE2-E39A45652E4D}"/>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E9B6745C-7B81-4189-AC9C-598B9231CBB8}"/>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ysClr val="windowText" lastClr="000000"/>
                </a:solidFill>
                <a:latin typeface="Berlin Sans FB" panose="020E0602020502020306" pitchFamily="34" charset="0"/>
              </a:rPr>
              <a:t>Total Employee By Gender</a:t>
            </a:r>
          </a:p>
        </xdr:txBody>
      </xdr:sp>
      <xdr:cxnSp macro="">
        <xdr:nvCxnSpPr>
          <xdr:cNvPr id="13" name="Straight Connector 12">
            <a:extLst>
              <a:ext uri="{FF2B5EF4-FFF2-40B4-BE49-F238E27FC236}">
                <a16:creationId xmlns:a16="http://schemas.microsoft.com/office/drawing/2014/main" id="{BCB65110-A4BB-45CD-8A35-03288A7EF2E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4F10DE88-6F13-4411-B819-092B332FF71E}"/>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kern="1200">
                <a:solidFill>
                  <a:sysClr val="windowText" lastClr="000000"/>
                </a:solidFill>
                <a:effectLst/>
                <a:latin typeface="Berlin Sans FB" panose="020E0602020502020306" pitchFamily="34" charset="0"/>
                <a:ea typeface="+mn-ea"/>
                <a:cs typeface="+mn-cs"/>
              </a:rPr>
              <a:t>Attrition By Age-Group</a:t>
            </a:r>
            <a:endParaRPr lang="en-IN">
              <a:solidFill>
                <a:sysClr val="windowText" lastClr="000000"/>
              </a:solidFill>
              <a:effectLst/>
              <a:latin typeface="Berlin Sans FB" panose="020E0602020502020306" pitchFamily="34" charset="0"/>
            </a:endParaRPr>
          </a:p>
        </xdr:txBody>
      </xdr:sp>
      <xdr:cxnSp macro="">
        <xdr:nvCxnSpPr>
          <xdr:cNvPr id="15" name="Straight Connector 14">
            <a:extLst>
              <a:ext uri="{FF2B5EF4-FFF2-40B4-BE49-F238E27FC236}">
                <a16:creationId xmlns:a16="http://schemas.microsoft.com/office/drawing/2014/main" id="{53F22FB3-E5C3-478C-B7B9-A6D21F08FE3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0B397E8A-EF7E-41D1-A2B4-738A0A896FFB}"/>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GB" sz="1800" kern="1200">
                <a:solidFill>
                  <a:sysClr val="windowText" lastClr="000000"/>
                </a:solidFill>
                <a:effectLst/>
                <a:latin typeface="Berlin Sans FB" panose="020E0602020502020306" pitchFamily="34" charset="0"/>
                <a:ea typeface="+mn-ea"/>
                <a:cs typeface="+mn-cs"/>
              </a:rPr>
              <a:t>Attrition By Marital-Status</a:t>
            </a:r>
            <a:endParaRPr lang="en-IN" sz="1800">
              <a:solidFill>
                <a:sysClr val="windowText" lastClr="000000"/>
              </a:solidFill>
              <a:effectLst/>
              <a:latin typeface="Berlin Sans FB" panose="020E0602020502020306"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IN">
              <a:solidFill>
                <a:sysClr val="windowText" lastClr="000000"/>
              </a:solidFill>
              <a:effectLst/>
            </a:endParaRPr>
          </a:p>
          <a:p>
            <a:pPr algn="ctr"/>
            <a:endParaRPr lang="en-IN"/>
          </a:p>
        </xdr:txBody>
      </xdr:sp>
      <xdr:cxnSp macro="">
        <xdr:nvCxnSpPr>
          <xdr:cNvPr id="17" name="Straight Connector 16">
            <a:extLst>
              <a:ext uri="{FF2B5EF4-FFF2-40B4-BE49-F238E27FC236}">
                <a16:creationId xmlns:a16="http://schemas.microsoft.com/office/drawing/2014/main" id="{0F1B6387-DDC2-46D2-81F6-C284CBA2DF12}"/>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EB0D27E6-E19F-4AB6-B4B7-0E8BF87DDEC2}"/>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204890B0-2291-4447-ABB2-41352856B9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201144</xdr:colOff>
      <xdr:row>26</xdr:row>
      <xdr:rowOff>0</xdr:rowOff>
    </xdr:from>
    <xdr:to>
      <xdr:col>18</xdr:col>
      <xdr:colOff>432847</xdr:colOff>
      <xdr:row>35</xdr:row>
      <xdr:rowOff>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6B1C9F3D-8A9D-463E-ABDC-D2DD1CF004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773644" y="4953000"/>
              <a:ext cx="2680989" cy="1714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285750</xdr:colOff>
      <xdr:row>26</xdr:row>
      <xdr:rowOff>0</xdr:rowOff>
    </xdr:from>
    <xdr:to>
      <xdr:col>14</xdr:col>
      <xdr:colOff>0</xdr:colOff>
      <xdr:row>35</xdr:row>
      <xdr:rowOff>0</xdr:rowOff>
    </xdr:to>
    <xdr:graphicFrame macro="">
      <xdr:nvGraphicFramePr>
        <xdr:cNvPr id="33" name="Chart 32">
          <a:extLst>
            <a:ext uri="{FF2B5EF4-FFF2-40B4-BE49-F238E27FC236}">
              <a16:creationId xmlns:a16="http://schemas.microsoft.com/office/drawing/2014/main" id="{8DA9FE94-2560-411C-BA11-63A96E3E8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202859</xdr:colOff>
      <xdr:row>26</xdr:row>
      <xdr:rowOff>0</xdr:rowOff>
    </xdr:from>
    <xdr:to>
      <xdr:col>8</xdr:col>
      <xdr:colOff>1</xdr:colOff>
      <xdr:row>35</xdr:row>
      <xdr:rowOff>0</xdr:rowOff>
    </xdr:to>
    <xdr:graphicFrame macro="">
      <xdr:nvGraphicFramePr>
        <xdr:cNvPr id="34" name="Chart 33">
          <a:extLst>
            <a:ext uri="{FF2B5EF4-FFF2-40B4-BE49-F238E27FC236}">
              <a16:creationId xmlns:a16="http://schemas.microsoft.com/office/drawing/2014/main" id="{7104FB10-9A48-461C-8E80-83EF223E4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305449</xdr:colOff>
      <xdr:row>13</xdr:row>
      <xdr:rowOff>95250</xdr:rowOff>
    </xdr:from>
    <xdr:to>
      <xdr:col>23</xdr:col>
      <xdr:colOff>0</xdr:colOff>
      <xdr:row>23</xdr:row>
      <xdr:rowOff>0</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817B69FE-C9BE-4C86-AA37-ED1549C9B7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020949" y="2571750"/>
              <a:ext cx="3945082" cy="1809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285751</xdr:colOff>
      <xdr:row>13</xdr:row>
      <xdr:rowOff>47625</xdr:rowOff>
    </xdr:from>
    <xdr:to>
      <xdr:col>16</xdr:col>
      <xdr:colOff>1</xdr:colOff>
      <xdr:row>23</xdr:row>
      <xdr:rowOff>0</xdr:rowOff>
    </xdr:to>
    <xdr:graphicFrame macro="">
      <xdr:nvGraphicFramePr>
        <xdr:cNvPr id="36" name="Chart 35">
          <a:extLst>
            <a:ext uri="{FF2B5EF4-FFF2-40B4-BE49-F238E27FC236}">
              <a16:creationId xmlns:a16="http://schemas.microsoft.com/office/drawing/2014/main" id="{A92E59AE-973D-482C-8B9E-B6EC368ED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134112</xdr:colOff>
      <xdr:row>15</xdr:row>
      <xdr:rowOff>95250</xdr:rowOff>
    </xdr:from>
    <xdr:to>
      <xdr:col>5</xdr:col>
      <xdr:colOff>299357</xdr:colOff>
      <xdr:row>24</xdr:row>
      <xdr:rowOff>0</xdr:rowOff>
    </xdr:to>
    <xdr:graphicFrame macro="">
      <xdr:nvGraphicFramePr>
        <xdr:cNvPr id="37" name="Chart 36">
          <a:extLst>
            <a:ext uri="{FF2B5EF4-FFF2-40B4-BE49-F238E27FC236}">
              <a16:creationId xmlns:a16="http://schemas.microsoft.com/office/drawing/2014/main" id="{98644DE2-7B32-43EA-B3B4-00ED2B0A8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299357</xdr:colOff>
      <xdr:row>16</xdr:row>
      <xdr:rowOff>68036</xdr:rowOff>
    </xdr:from>
    <xdr:to>
      <xdr:col>8</xdr:col>
      <xdr:colOff>165245</xdr:colOff>
      <xdr:row>24</xdr:row>
      <xdr:rowOff>0</xdr:rowOff>
    </xdr:to>
    <xdr:graphicFrame macro="">
      <xdr:nvGraphicFramePr>
        <xdr:cNvPr id="38" name="Chart 37">
          <a:extLst>
            <a:ext uri="{FF2B5EF4-FFF2-40B4-BE49-F238E27FC236}">
              <a16:creationId xmlns:a16="http://schemas.microsoft.com/office/drawing/2014/main" id="{D0BD2AFC-E536-4795-A38B-2AA033280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134112</xdr:colOff>
      <xdr:row>13</xdr:row>
      <xdr:rowOff>0</xdr:rowOff>
    </xdr:from>
    <xdr:to>
      <xdr:col>8</xdr:col>
      <xdr:colOff>0</xdr:colOff>
      <xdr:row>16</xdr:row>
      <xdr:rowOff>68036</xdr:rowOff>
    </xdr:to>
    <mc:AlternateContent xmlns:mc="http://schemas.openxmlformats.org/markup-compatibility/2006">
      <mc:Choice xmlns:a14="http://schemas.microsoft.com/office/drawing/2010/main" Requires="a14">
        <xdr:graphicFrame macro="">
          <xdr:nvGraphicFramePr>
            <xdr:cNvPr id="41" name="Gender 3">
              <a:extLst>
                <a:ext uri="{FF2B5EF4-FFF2-40B4-BE49-F238E27FC236}">
                  <a16:creationId xmlns:a16="http://schemas.microsoft.com/office/drawing/2014/main" id="{6495A980-6D6C-4D64-BB0E-D7A485CAB62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361779" y="2476500"/>
              <a:ext cx="3548888" cy="639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597468</xdr:colOff>
      <xdr:row>29</xdr:row>
      <xdr:rowOff>122464</xdr:rowOff>
    </xdr:from>
    <xdr:to>
      <xdr:col>23</xdr:col>
      <xdr:colOff>92590</xdr:colOff>
      <xdr:row>34</xdr:row>
      <xdr:rowOff>188788</xdr:rowOff>
    </xdr:to>
    <mc:AlternateContent xmlns:mc="http://schemas.openxmlformats.org/markup-compatibility/2006">
      <mc:Choice xmlns:a14="http://schemas.microsoft.com/office/drawing/2010/main" Requires="a14">
        <xdr:graphicFrame macro="">
          <xdr:nvGraphicFramePr>
            <xdr:cNvPr id="45" name="Department 1">
              <a:extLst>
                <a:ext uri="{FF2B5EF4-FFF2-40B4-BE49-F238E27FC236}">
                  <a16:creationId xmlns:a16="http://schemas.microsoft.com/office/drawing/2014/main" id="{6F89437A-4D2E-431C-B5A8-ACC44E590A8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646468" y="5646964"/>
              <a:ext cx="2564289" cy="1018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597468</xdr:colOff>
      <xdr:row>23</xdr:row>
      <xdr:rowOff>122464</xdr:rowOff>
    </xdr:from>
    <xdr:to>
      <xdr:col>23</xdr:col>
      <xdr:colOff>92590</xdr:colOff>
      <xdr:row>29</xdr:row>
      <xdr:rowOff>122464</xdr:rowOff>
    </xdr:to>
    <mc:AlternateContent xmlns:mc="http://schemas.openxmlformats.org/markup-compatibility/2006">
      <mc:Choice xmlns:a14="http://schemas.microsoft.com/office/drawing/2010/main" Requires="a14">
        <xdr:graphicFrame macro="">
          <xdr:nvGraphicFramePr>
            <xdr:cNvPr id="47" name="Education Field 4">
              <a:extLst>
                <a:ext uri="{FF2B5EF4-FFF2-40B4-BE49-F238E27FC236}">
                  <a16:creationId xmlns:a16="http://schemas.microsoft.com/office/drawing/2014/main" id="{1DC4CD04-76C5-4A42-BCE8-5664417482B4}"/>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dr:sp macro="" textlink="">
          <xdr:nvSpPr>
            <xdr:cNvPr id="0" name=""/>
            <xdr:cNvSpPr>
              <a:spLocks noTextEdit="1"/>
            </xdr:cNvSpPr>
          </xdr:nvSpPr>
          <xdr:spPr>
            <a:xfrm>
              <a:off x="11646468" y="4503964"/>
              <a:ext cx="2564289"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258966</xdr:colOff>
      <xdr:row>8</xdr:row>
      <xdr:rowOff>0</xdr:rowOff>
    </xdr:from>
    <xdr:ext cx="2021696" cy="503464"/>
    <xdr:sp macro="" textlink="KPI!B7">
      <xdr:nvSpPr>
        <xdr:cNvPr id="49" name="TextBox 48">
          <a:extLst>
            <a:ext uri="{FF2B5EF4-FFF2-40B4-BE49-F238E27FC236}">
              <a16:creationId xmlns:a16="http://schemas.microsoft.com/office/drawing/2014/main" id="{A3768E4A-7B43-4020-B1C2-84C41BC86297}"/>
            </a:ext>
          </a:extLst>
        </xdr:cNvPr>
        <xdr:cNvSpPr txBox="1"/>
      </xdr:nvSpPr>
      <xdr:spPr>
        <a:xfrm>
          <a:off x="1483609" y="1524000"/>
          <a:ext cx="2021696" cy="503464"/>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281A14C-F919-4D8F-A6DF-210928E7DA8F}" type="TxLink">
            <a:rPr lang="en-US" sz="3200" b="0" i="0" u="none" strike="noStrike">
              <a:solidFill>
                <a:schemeClr val="accent1"/>
              </a:solidFill>
              <a:latin typeface="Berlin Sans FB" panose="020E0602020502020306" pitchFamily="34" charset="0"/>
              <a:ea typeface="Calibri"/>
              <a:cs typeface="Calibri"/>
            </a:rPr>
            <a:pPr algn="ctr"/>
            <a:t>1470</a:t>
          </a:fld>
          <a:endParaRPr lang="en-IN" sz="3200">
            <a:solidFill>
              <a:schemeClr val="accent1"/>
            </a:solidFill>
            <a:latin typeface="Berlin Sans FB" panose="020E0602020502020306" pitchFamily="34" charset="0"/>
          </a:endParaRPr>
        </a:p>
      </xdr:txBody>
    </xdr:sp>
    <xdr:clientData/>
  </xdr:oneCellAnchor>
  <xdr:oneCellAnchor>
    <xdr:from>
      <xdr:col>7</xdr:col>
      <xdr:colOff>0</xdr:colOff>
      <xdr:row>7</xdr:row>
      <xdr:rowOff>167544</xdr:rowOff>
    </xdr:from>
    <xdr:ext cx="1836964" cy="543354"/>
    <xdr:sp macro="" textlink="KPI!C7">
      <xdr:nvSpPr>
        <xdr:cNvPr id="50" name="TextBox 49">
          <a:extLst>
            <a:ext uri="{FF2B5EF4-FFF2-40B4-BE49-F238E27FC236}">
              <a16:creationId xmlns:a16="http://schemas.microsoft.com/office/drawing/2014/main" id="{CC23E424-6ED0-485B-A06F-E31815EC3408}"/>
            </a:ext>
          </a:extLst>
        </xdr:cNvPr>
        <xdr:cNvSpPr txBox="1"/>
      </xdr:nvSpPr>
      <xdr:spPr>
        <a:xfrm>
          <a:off x="4286250" y="1501044"/>
          <a:ext cx="1836964" cy="5433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6E2C7C1-2F8C-48A6-8C1A-5180E21CABFA}" type="TxLink">
            <a:rPr lang="en-US" sz="3200" b="0" i="0" u="none" strike="noStrike">
              <a:solidFill>
                <a:schemeClr val="accent1"/>
              </a:solidFill>
              <a:latin typeface="Berlin Sans FB" panose="020E0602020502020306" pitchFamily="34" charset="0"/>
              <a:ea typeface="Calibri"/>
              <a:cs typeface="Calibri"/>
            </a:rPr>
            <a:pPr algn="ctr"/>
            <a:t>237</a:t>
          </a:fld>
          <a:endParaRPr lang="en-IN" sz="3200">
            <a:solidFill>
              <a:schemeClr val="accent1"/>
            </a:solidFill>
            <a:latin typeface="Berlin Sans FB" panose="020E0602020502020306" pitchFamily="34" charset="0"/>
          </a:endParaRPr>
        </a:p>
      </xdr:txBody>
    </xdr:sp>
    <xdr:clientData/>
  </xdr:oneCellAnchor>
  <xdr:oneCellAnchor>
    <xdr:from>
      <xdr:col>11</xdr:col>
      <xdr:colOff>0</xdr:colOff>
      <xdr:row>8</xdr:row>
      <xdr:rowOff>5192</xdr:rowOff>
    </xdr:from>
    <xdr:ext cx="1963595" cy="487056"/>
    <xdr:sp macro="" textlink="KPI!E7">
      <xdr:nvSpPr>
        <xdr:cNvPr id="51" name="TextBox 50">
          <a:extLst>
            <a:ext uri="{FF2B5EF4-FFF2-40B4-BE49-F238E27FC236}">
              <a16:creationId xmlns:a16="http://schemas.microsoft.com/office/drawing/2014/main" id="{4411728E-B160-4324-9D34-338EC84FAD11}"/>
            </a:ext>
          </a:extLst>
        </xdr:cNvPr>
        <xdr:cNvSpPr txBox="1"/>
      </xdr:nvSpPr>
      <xdr:spPr>
        <a:xfrm>
          <a:off x="6735536" y="1529192"/>
          <a:ext cx="1963595" cy="487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734393A-5097-49DE-8705-949504648F9C}" type="TxLink">
            <a:rPr lang="en-US" sz="2800" b="0" i="0" u="none" strike="noStrike">
              <a:solidFill>
                <a:schemeClr val="accent1"/>
              </a:solidFill>
              <a:latin typeface="Berlin Sans FB" panose="020E0602020502020306" pitchFamily="34" charset="0"/>
              <a:ea typeface="Calibri"/>
              <a:cs typeface="Calibri"/>
            </a:rPr>
            <a:pPr algn="ctr"/>
            <a:t>1233</a:t>
          </a:fld>
          <a:endParaRPr lang="en-IN" sz="2800">
            <a:solidFill>
              <a:schemeClr val="accent1"/>
            </a:solidFill>
            <a:latin typeface="Berlin Sans FB" panose="020E0602020502020306" pitchFamily="34" charset="0"/>
          </a:endParaRPr>
        </a:p>
      </xdr:txBody>
    </xdr:sp>
    <xdr:clientData/>
  </xdr:oneCellAnchor>
  <xdr:oneCellAnchor>
    <xdr:from>
      <xdr:col>15</xdr:col>
      <xdr:colOff>0</xdr:colOff>
      <xdr:row>8</xdr:row>
      <xdr:rowOff>5192</xdr:rowOff>
    </xdr:from>
    <xdr:ext cx="2269811" cy="487056"/>
    <xdr:sp macro="" textlink="KPI!F7">
      <xdr:nvSpPr>
        <xdr:cNvPr id="52" name="TextBox 51">
          <a:extLst>
            <a:ext uri="{FF2B5EF4-FFF2-40B4-BE49-F238E27FC236}">
              <a16:creationId xmlns:a16="http://schemas.microsoft.com/office/drawing/2014/main" id="{65259374-5089-4C51-AFEE-2EEE283C6688}"/>
            </a:ext>
          </a:extLst>
        </xdr:cNvPr>
        <xdr:cNvSpPr txBox="1"/>
      </xdr:nvSpPr>
      <xdr:spPr>
        <a:xfrm>
          <a:off x="9184821" y="1529192"/>
          <a:ext cx="2269811" cy="487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7CA3CC5-0C4F-4B73-9CA9-30B1193DBA54}" type="TxLink">
            <a:rPr lang="en-US" sz="2800" b="0" i="0" u="none" strike="noStrike">
              <a:solidFill>
                <a:schemeClr val="accent1"/>
              </a:solidFill>
              <a:latin typeface="Berlin Sans FB" panose="020E0602020502020306" pitchFamily="34" charset="0"/>
              <a:ea typeface="Calibri"/>
              <a:cs typeface="Calibri"/>
            </a:rPr>
            <a:pPr algn="ctr"/>
            <a:t>16.12%</a:t>
          </a:fld>
          <a:endParaRPr lang="en-IN" sz="2800">
            <a:solidFill>
              <a:schemeClr val="accent1"/>
            </a:solidFill>
            <a:latin typeface="Berlin Sans FB" panose="020E0602020502020306" pitchFamily="34" charset="0"/>
          </a:endParaRPr>
        </a:p>
      </xdr:txBody>
    </xdr:sp>
    <xdr:clientData/>
  </xdr:oneCellAnchor>
  <xdr:oneCellAnchor>
    <xdr:from>
      <xdr:col>19</xdr:col>
      <xdr:colOff>57139</xdr:colOff>
      <xdr:row>8</xdr:row>
      <xdr:rowOff>5192</xdr:rowOff>
    </xdr:from>
    <xdr:ext cx="2354237" cy="651953"/>
    <xdr:sp macro="" textlink="KPI!D7">
      <xdr:nvSpPr>
        <xdr:cNvPr id="53" name="TextBox 52">
          <a:extLst>
            <a:ext uri="{FF2B5EF4-FFF2-40B4-BE49-F238E27FC236}">
              <a16:creationId xmlns:a16="http://schemas.microsoft.com/office/drawing/2014/main" id="{7B64CFF6-824C-4D2E-9B52-11932ED616C8}"/>
            </a:ext>
          </a:extLst>
        </xdr:cNvPr>
        <xdr:cNvSpPr txBox="1"/>
      </xdr:nvSpPr>
      <xdr:spPr>
        <a:xfrm>
          <a:off x="11691246" y="1529192"/>
          <a:ext cx="2354237" cy="6519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D274C2C-27A2-491F-83D8-8EE16545108A}" type="TxLink">
            <a:rPr lang="en-US" sz="2800" b="0" i="0" u="none" strike="noStrike">
              <a:solidFill>
                <a:schemeClr val="accent1"/>
              </a:solidFill>
              <a:latin typeface="Berlin Sans FB" panose="020E0602020502020306" pitchFamily="34" charset="0"/>
              <a:ea typeface="Calibri"/>
              <a:cs typeface="Calibri"/>
            </a:rPr>
            <a:pPr algn="ctr"/>
            <a:t>36.9</a:t>
          </a:fld>
          <a:endParaRPr lang="en-IN" sz="2800">
            <a:solidFill>
              <a:schemeClr val="accent1"/>
            </a:solidFill>
            <a:latin typeface="Berlin Sans FB" panose="020E0602020502020306" pitchFamily="34" charset="0"/>
          </a:endParaRPr>
        </a:p>
      </xdr:txBody>
    </xdr:sp>
    <xdr:clientData/>
  </xdr:oneCellAnchor>
  <xdr:oneCellAnchor>
    <xdr:from>
      <xdr:col>3</xdr:col>
      <xdr:colOff>351717</xdr:colOff>
      <xdr:row>19</xdr:row>
      <xdr:rowOff>0</xdr:rowOff>
    </xdr:from>
    <xdr:ext cx="872926" cy="381000"/>
    <xdr:sp macro="" textlink="'Employee by Gender'!C9">
      <xdr:nvSpPr>
        <xdr:cNvPr id="54" name="TextBox 53">
          <a:extLst>
            <a:ext uri="{FF2B5EF4-FFF2-40B4-BE49-F238E27FC236}">
              <a16:creationId xmlns:a16="http://schemas.microsoft.com/office/drawing/2014/main" id="{B7697CE9-D5FB-419B-80A1-35784D1764C0}"/>
            </a:ext>
          </a:extLst>
        </xdr:cNvPr>
        <xdr:cNvSpPr txBox="1"/>
      </xdr:nvSpPr>
      <xdr:spPr>
        <a:xfrm>
          <a:off x="2188681" y="3619500"/>
          <a:ext cx="87292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BAB448A-2C7C-4279-8B4B-50EB4BF3D017}" type="TxLink">
            <a:rPr lang="en-US" sz="1800" b="0" i="0" u="none" strike="noStrike">
              <a:solidFill>
                <a:schemeClr val="accent1"/>
              </a:solidFill>
              <a:latin typeface="Berlin Sans FB" panose="020E0602020502020306" pitchFamily="34" charset="0"/>
              <a:ea typeface="Calibri"/>
              <a:cs typeface="Calibri"/>
            </a:rPr>
            <a:t>40%</a:t>
          </a:fld>
          <a:endParaRPr lang="en-IN" sz="1800">
            <a:solidFill>
              <a:schemeClr val="accent1"/>
            </a:solidFill>
            <a:latin typeface="Berlin Sans FB" panose="020E0602020502020306" pitchFamily="34" charset="0"/>
          </a:endParaRPr>
        </a:p>
      </xdr:txBody>
    </xdr:sp>
    <xdr:clientData/>
  </xdr:oneCellAnchor>
  <xdr:oneCellAnchor>
    <xdr:from>
      <xdr:col>6</xdr:col>
      <xdr:colOff>235320</xdr:colOff>
      <xdr:row>19</xdr:row>
      <xdr:rowOff>116440</xdr:rowOff>
    </xdr:from>
    <xdr:ext cx="797052" cy="346057"/>
    <xdr:sp macro="" textlink="'Employee by Gender'!C10">
      <xdr:nvSpPr>
        <xdr:cNvPr id="55" name="TextBox 54">
          <a:extLst>
            <a:ext uri="{FF2B5EF4-FFF2-40B4-BE49-F238E27FC236}">
              <a16:creationId xmlns:a16="http://schemas.microsoft.com/office/drawing/2014/main" id="{3772A818-D0D9-44A2-9F29-59C964A3B8B5}"/>
            </a:ext>
          </a:extLst>
        </xdr:cNvPr>
        <xdr:cNvSpPr txBox="1"/>
      </xdr:nvSpPr>
      <xdr:spPr>
        <a:xfrm>
          <a:off x="3909249" y="3735940"/>
          <a:ext cx="797052" cy="3460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B17AB60-C0EC-4A1E-BFDB-4400E0A6722D}" type="TxLink">
            <a:rPr lang="en-US" sz="1800" b="0" i="0" u="none" strike="noStrike">
              <a:solidFill>
                <a:schemeClr val="accent1"/>
              </a:solidFill>
              <a:latin typeface="Berlin Sans FB" panose="020E0602020502020306" pitchFamily="34" charset="0"/>
              <a:ea typeface="Calibri"/>
              <a:cs typeface="Calibri"/>
            </a:rPr>
            <a:t>60%</a:t>
          </a:fld>
          <a:endParaRPr lang="en-IN" sz="1800">
            <a:solidFill>
              <a:schemeClr val="accent1"/>
            </a:solidFill>
            <a:latin typeface="Berlin Sans FB" panose="020E0602020502020306" pitchFamily="34" charset="0"/>
          </a:endParaRPr>
        </a:p>
      </xdr:txBody>
    </xdr:sp>
    <xdr:clientData/>
  </xdr:oneCellAnchor>
  <xdr:oneCellAnchor>
    <xdr:from>
      <xdr:col>14</xdr:col>
      <xdr:colOff>339448</xdr:colOff>
      <xdr:row>2</xdr:row>
      <xdr:rowOff>71407</xdr:rowOff>
    </xdr:from>
    <xdr:ext cx="4571218" cy="685760"/>
    <xdr:sp macro="" textlink="">
      <xdr:nvSpPr>
        <xdr:cNvPr id="56" name="TextBox 55">
          <a:extLst>
            <a:ext uri="{FF2B5EF4-FFF2-40B4-BE49-F238E27FC236}">
              <a16:creationId xmlns:a16="http://schemas.microsoft.com/office/drawing/2014/main" id="{E611C415-BA0F-4D4E-BE10-CD1BCD291120}"/>
            </a:ext>
          </a:extLst>
        </xdr:cNvPr>
        <xdr:cNvSpPr txBox="1"/>
      </xdr:nvSpPr>
      <xdr:spPr>
        <a:xfrm>
          <a:off x="8933115" y="452407"/>
          <a:ext cx="4571218" cy="68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0">
              <a:solidFill>
                <a:sysClr val="windowText" lastClr="000000"/>
              </a:solidFill>
              <a:latin typeface="Cambria" panose="02040503050406030204" pitchFamily="18" charset="0"/>
              <a:ea typeface="Cambria" panose="02040503050406030204" pitchFamily="18" charset="0"/>
            </a:rPr>
            <a:t>JOB SATISFACTION RATING</a:t>
          </a:r>
        </a:p>
      </xdr:txBody>
    </xdr:sp>
    <xdr:clientData/>
  </xdr:oneCellAnchor>
  <xdr:twoCellAnchor>
    <xdr:from>
      <xdr:col>21</xdr:col>
      <xdr:colOff>613832</xdr:colOff>
      <xdr:row>2</xdr:row>
      <xdr:rowOff>71407</xdr:rowOff>
    </xdr:from>
    <xdr:to>
      <xdr:col>23</xdr:col>
      <xdr:colOff>107238</xdr:colOff>
      <xdr:row>5</xdr:row>
      <xdr:rowOff>185668</xdr:rowOff>
    </xdr:to>
    <xdr:graphicFrame macro="">
      <xdr:nvGraphicFramePr>
        <xdr:cNvPr id="57" name="Chart 56">
          <a:extLst>
            <a:ext uri="{FF2B5EF4-FFF2-40B4-BE49-F238E27FC236}">
              <a16:creationId xmlns:a16="http://schemas.microsoft.com/office/drawing/2014/main" id="{A2D55C8D-AFE3-4A54-8442-7EB1BC11E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22</xdr:col>
      <xdr:colOff>205361</xdr:colOff>
      <xdr:row>3</xdr:row>
      <xdr:rowOff>116440</xdr:rowOff>
    </xdr:from>
    <xdr:ext cx="363241" cy="264560"/>
    <xdr:sp macro="" textlink="Ratings!$B$5">
      <xdr:nvSpPr>
        <xdr:cNvPr id="58" name="TextBox 57">
          <a:extLst>
            <a:ext uri="{FF2B5EF4-FFF2-40B4-BE49-F238E27FC236}">
              <a16:creationId xmlns:a16="http://schemas.microsoft.com/office/drawing/2014/main" id="{EBC2EFE9-E793-4ADF-ABF8-BFE94B3F72B1}"/>
            </a:ext>
          </a:extLst>
        </xdr:cNvPr>
        <xdr:cNvSpPr txBox="1"/>
      </xdr:nvSpPr>
      <xdr:spPr>
        <a:xfrm>
          <a:off x="13709694" y="687940"/>
          <a:ext cx="3632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B7BA164-1D4E-4F50-81D1-F02A688519A9}" type="TxLink">
            <a:rPr lang="en-US" sz="1100" b="0" i="0" u="none" strike="noStrike">
              <a:solidFill>
                <a:srgbClr val="000000"/>
              </a:solidFill>
              <a:latin typeface="Calibri"/>
              <a:ea typeface="Calibri"/>
              <a:cs typeface="Calibri"/>
            </a:rPr>
            <a:t>2.6</a:t>
          </a:fld>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by" refreshedDate="46119.889875578701" createdVersion="7" refreshedVersion="7" minRefreshableVersion="3" recordCount="1470" xr:uid="{10C72D87-6245-4009-ABB6-2B33660A8AC8}">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06227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14BB35-C171-4015-BF05-02268345E852}" name="PivotTable1"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D4" firstHeaderRow="0"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24" subtotal="count" baseField="0" baseItem="10"/>
    <dataField name="Sum of CF_attrition rate" fld="19" baseField="0" baseItem="1"/>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5279DD-9E99-41CF-AB34-11BFD0ACACB0}" name="PivotTable2"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29" baseItem="10" numFmtId="17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D0BA9-6C48-4D58-9053-C8782A4AB61E}" name="PivotTable3"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5"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1A4132-9B6A-4BDC-A052-197F2FD9B8F0}" name="PivotTable4"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B8"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CF_attrition count" fld="1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E3A220-93A7-46CA-9562-456148EEB260}" name="PivotTable5"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12"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F379D-36CD-4643-A7AE-4D739DBE0FB5}" name="PivotTable8"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6"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8568B2-327B-4FE6-B642-46046A886F28}" name="PivotTable9"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B8" firstHeaderRow="1" firstDataRow="1" firstDataCol="1"/>
  <pivotFields count="44">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7" subtotal="count" baseField="2"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870ED4-8716-43C6-B7BE-CEF02C748AE4}" name="PivotTable10"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5E3F0F-3D50-408E-92E9-4B9D5051DA48}" sourceName="Gender">
  <pivotTables>
    <pivotTable tabId="2" name="PivotTable1"/>
  </pivotTables>
  <data>
    <tabular pivotCacheId="9062274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4F456C2B-89E1-4F06-BE5C-B4B1C94C64AE}" sourceName="Education Field">
  <pivotTables>
    <pivotTable tabId="3" name="PivotTable2"/>
  </pivotTables>
  <data>
    <tabular pivotCacheId="906227461">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62CD308-A7B1-4B18-B93E-29488EBAD611}" sourceName="Gender">
  <pivotTables>
    <pivotTable tabId="3" name="PivotTable2"/>
  </pivotTables>
  <data>
    <tabular pivotCacheId="90622746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09E6BAA-071C-4C32-A86A-85BA5777390B}" sourceName="Education Field">
  <pivotTables>
    <pivotTable tabId="4" name="PivotTable3"/>
  </pivotTables>
  <data>
    <tabular pivotCacheId="906227461">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840E0A4-58D1-4529-9009-A7AD32C7D9BA}" sourceName="Gender">
  <pivotTables>
    <pivotTable tabId="4" name="PivotTable3"/>
  </pivotTables>
  <data>
    <tabular pivotCacheId="90622746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78AF244-9FC7-4DF5-AD3C-C55DC9BF1741}" sourceName="Education Field">
  <pivotTables>
    <pivotTable tabId="5" name="PivotTable4"/>
  </pivotTables>
  <data>
    <tabular pivotCacheId="906227461">
      <items count="6">
        <i x="5" s="1"/>
        <i x="0" s="1"/>
        <i x="3" s="1"/>
        <i x="2"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EA136B-357D-4AD9-A59B-A8D1AC60FFCB}" sourceName="Marital Status">
  <pivotTables>
    <pivotTable tabId="10" name="PivotTable10"/>
  </pivotTables>
  <data>
    <tabular pivotCacheId="906227461">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CB98D7-2CD0-4694-BCA1-5048FFA3EDCE}" sourceName="Department">
  <pivotTables>
    <pivotTable tabId="10" name="PivotTable10"/>
  </pivotTables>
  <data>
    <tabular pivotCacheId="906227461">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3" xr10:uid="{12A45B10-168A-47D1-86B4-B1FF8FC0C1B5}" sourceName="Education Field">
  <pivotTables>
    <pivotTable tabId="10" name="PivotTable10"/>
  </pivotTables>
  <data>
    <tabular pivotCacheId="90622746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AC1BF11-3A5B-4ADD-978B-218F202FB4CF}"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C808C4DE-6D8B-4246-B635-442BCA6869A0}" cache="Slicer_Education_Field" caption="Education Field" rowHeight="241300"/>
  <slicer name="Gender 1" xr10:uid="{DDF97D29-7709-4C20-8613-8AEAC2525C0C}" cache="Slicer_Gender1"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40B6A4D3-CFAA-48A8-911A-8891C6C2C1F7}" cache="Slicer_Education_Field1" caption="Education Field" rowHeight="241300"/>
  <slicer name="Gender 2" xr10:uid="{CC0C6BED-6F4C-450A-97BB-205967ABB7E6}" cache="Slicer_Gender2" caption="Gender" columnCount="2"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D99EE3A0-AFFE-4609-A80F-2069570CB595}" cache="Slicer_Education_Field2"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73FA7F2-DA50-410D-B9F9-41C05F7D227C}" cache="Slicer_Marital_Status" caption="Marital Status" rowHeight="241300"/>
  <slicer name="Department" xr10:uid="{A952DEC7-3698-4C97-9FF1-02C60BA27070}" cache="Slicer_Department" caption="Department" rowHeight="241300"/>
  <slicer name="Education Field 3" xr10:uid="{DD2F2B7E-C154-491D-8A14-66EBE3C6C5A3}" cache="Slicer_Education_Field3" caption="Education Field"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75085A4-7F16-498C-8215-236758B23390}" cache="Slicer_Gender2" caption="Gender" columnCount="2" style="SlicerStyleDark1" rowHeight="241300"/>
  <slicer name="Department 1" xr10:uid="{FC84B104-EB4D-4681-874F-157C466FD1D6}" cache="Slicer_Department" caption="Department" rowHeight="241300"/>
  <slicer name="Education Field 4" xr10:uid="{097634A8-7EC9-4313-A042-3EB523CB000B}" cache="Slicer_Education_Field3" caption="Education Field"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50B9E0-90A1-4479-9CD1-A0E7656A85DF}" name="Table1" displayName="Table1" ref="A1:AR1471" totalsRowShown="0">
  <autoFilter ref="A1:AR1471" xr:uid="{0BAF1BB6-2FE3-4CCB-A647-4994E7CAED58}"/>
  <tableColumns count="44">
    <tableColumn id="1" xr3:uid="{436F0FF3-9AE8-43BF-88DD-99F796D7EF06}" name="Attrition"/>
    <tableColumn id="2" xr3:uid="{CA18808B-15DD-4DF2-B78D-5D97957949E7}" name="Business Travel"/>
    <tableColumn id="3" xr3:uid="{06EDC1A8-AF85-4ACD-9D15-FFC566E45C4D}" name="CF_age band"/>
    <tableColumn id="4" xr3:uid="{F5292EB1-1394-4ED9-B0D7-08AA05EC1681}" name="CF_attrition label"/>
    <tableColumn id="5" xr3:uid="{77F89D7A-75F3-47F3-9393-95E090DEF4C1}" name="Department"/>
    <tableColumn id="6" xr3:uid="{5FBB5EE1-3CA3-4AD2-968D-269CB1C8F3B1}" name="Education Field"/>
    <tableColumn id="7" xr3:uid="{7E0401E3-B6BB-4867-9315-35B04BDFE4D0}" name="emp no"/>
    <tableColumn id="8" xr3:uid="{CC096140-5009-42FE-B1C8-801F4AB661B7}" name="Employee Number"/>
    <tableColumn id="9" xr3:uid="{8824391E-034F-4F21-AF08-7F18E5A7467A}" name="Gender"/>
    <tableColumn id="10" xr3:uid="{326C3B2C-84AA-4AE1-A9ED-83439A474E14}" name="Job Role"/>
    <tableColumn id="11" xr3:uid="{9A13F6F4-5304-4524-8890-B6DF2B02955A}" name="Marital Status"/>
    <tableColumn id="12" xr3:uid="{EAD6552D-0E2C-452C-8AEF-D813406EF618}" name="Over Time"/>
    <tableColumn id="13" xr3:uid="{3F87BA1C-337C-4EFF-8357-04562C6937BD}" name="Over18"/>
    <tableColumn id="14" xr3:uid="{37AA9AFB-D396-406E-8AFD-3F11B680F0C0}" name="Training Times Last Year"/>
    <tableColumn id="15" xr3:uid="{F6CE3D48-57B3-4A1E-8618-08328B8DD4F9}" name="-2"/>
    <tableColumn id="16" xr3:uid="{8A519F49-D676-400B-A528-F696B180594E}" name="0"/>
    <tableColumn id="17" xr3:uid="{31853D46-6899-408D-AFF0-ECCC4E502829}" name="Age"/>
    <tableColumn id="18" xr3:uid="{7B16B4BC-4221-4596-A8DC-08E87346845F}" name="CF_attrition count"/>
    <tableColumn id="19" xr3:uid="{8E83B4DC-B837-45DB-885F-4719847BD10E}" name="CF_attrition counts"/>
    <tableColumn id="20" xr3:uid="{1BB91E76-8195-452C-8120-A1711CFC8B79}" name="CF_attrition rate"/>
    <tableColumn id="21" xr3:uid="{7FEBC9D4-DAC2-49C2-9222-1391243D5680}" name="CF_current Employee"/>
    <tableColumn id="22" xr3:uid="{C763B505-01C1-4839-B0F5-43B7E25755BF}" name="Daily Rate"/>
    <tableColumn id="23" xr3:uid="{26C664B5-DA16-48FE-B66F-D6E801341F1B}" name="Distance From Home"/>
    <tableColumn id="24" xr3:uid="{F4A8ED23-040D-4E9D-B562-BCCDDFD5B181}" name="Education"/>
    <tableColumn id="25" xr3:uid="{D7118118-1A6D-40AF-82B6-45C4E4077F47}" name="Employee Count"/>
    <tableColumn id="26" xr3:uid="{B9EC7C94-B4C7-438B-8BAB-3C0F58C6E75B}" name="Environment Satisfaction"/>
    <tableColumn id="27" xr3:uid="{88270B24-7130-4370-BBB6-EDB3F48757FF}" name="Hourly Rate"/>
    <tableColumn id="28" xr3:uid="{5EEDFED6-5735-4083-8094-490F6898B464}" name="Job Involvement"/>
    <tableColumn id="29" xr3:uid="{18EB9112-A221-42BF-9E5E-94FDFCF322B3}" name="Job Level"/>
    <tableColumn id="30" xr3:uid="{28208B2A-E1EF-4AD4-B6BC-6210FEEBE291}" name="Job Satisfaction"/>
    <tableColumn id="31" xr3:uid="{834733D0-BBDD-431B-8441-E81D0E47AD37}" name="Monthly Income"/>
    <tableColumn id="32" xr3:uid="{00BAFE89-3AA2-4F0C-BCBE-215FC21D47EE}" name="Monthly Rate"/>
    <tableColumn id="33" xr3:uid="{B6025D0E-624B-43B3-A248-9B57E49F02EE}" name="Num Companies Worked"/>
    <tableColumn id="34" xr3:uid="{035563A4-0ABA-4132-BDB4-DC33D972007C}" name="Percent Salary Hike"/>
    <tableColumn id="35" xr3:uid="{07EA50B4-6ACA-48C0-95BE-631BBE09364C}" name="Performance Rating"/>
    <tableColumn id="36" xr3:uid="{343ED6C8-C799-448E-BFAB-6A80B088D790}" name="Relationship Satisfaction"/>
    <tableColumn id="37" xr3:uid="{4D9ABF00-A765-46E2-A5E3-A2CE8F870E18}" name="Standard Hours"/>
    <tableColumn id="38" xr3:uid="{D5A4FD80-37A9-49C0-9735-52323D3D3F91}" name="Stock Option Level"/>
    <tableColumn id="39" xr3:uid="{BE6AA13C-92C3-4B5C-85BF-330E34780BAC}" name="Total Working Years"/>
    <tableColumn id="40" xr3:uid="{51A21ECE-0E23-4C13-A412-324646CF167C}" name="Work Life Balance"/>
    <tableColumn id="41" xr3:uid="{FB309E16-D7A6-4797-AACA-5373F527BE26}" name="Years At Company"/>
    <tableColumn id="42" xr3:uid="{E2EBA420-E519-400B-8231-DC7E49EB40CF}" name="Years In Current Role"/>
    <tableColumn id="43" xr3:uid="{CA5045E0-79CE-4E12-A44D-21E0EDEB0984}" name="Years Since Last Promotion"/>
    <tableColumn id="44" xr3:uid="{56582529-D413-43C9-8864-8DF3695CA059}"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823532-AFA6-4AF2-99D1-3008A0770A67}" name="Table2" displayName="Table2" ref="D2:E11" headerRowDxfId="1" headerRowBorderDxfId="4">
  <autoFilter ref="D2:E11" xr:uid="{97EF49FE-0E80-4E2A-8765-E9419234698A}"/>
  <tableColumns count="2">
    <tableColumn id="1" xr3:uid="{EB579393-A07C-4E4F-AFA5-BF94E911D12A}" name="Job Role" totalsRowLabel="Total" dataDxfId="3" totalsRowDxfId="0"/>
    <tableColumn id="2" xr3:uid="{F3DDF9DE-9B24-4F91-8C63-4587B2272535}" name="Attrition" totalsRowFunction="sum"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8865-334D-40A9-8609-BF6708DE089B}">
  <dimension ref="A1:AR1471"/>
  <sheetViews>
    <sheetView topLeftCell="A2" workbookViewId="0">
      <selection activeCell="C12" sqref="A2:AR1471"/>
    </sheetView>
  </sheetViews>
  <sheetFormatPr defaultRowHeight="15" x14ac:dyDescent="0.25"/>
  <cols>
    <col min="1" max="1" width="10.85546875" bestFit="1" customWidth="1"/>
    <col min="2" max="2" width="17.42578125" bestFit="1" customWidth="1"/>
    <col min="3" max="3" width="14.42578125" bestFit="1" customWidth="1"/>
    <col min="4" max="4" width="18.7109375" bestFit="1" customWidth="1"/>
    <col min="5" max="5" width="14" bestFit="1" customWidth="1"/>
    <col min="6" max="6" width="17" bestFit="1" customWidth="1"/>
    <col min="7" max="7" width="11" bestFit="1" customWidth="1"/>
    <col min="8" max="8" width="20.140625" bestFit="1" customWidth="1"/>
    <col min="9" max="9" width="10" bestFit="1" customWidth="1"/>
    <col min="10" max="10" width="25" bestFit="1" customWidth="1"/>
    <col min="11" max="11" width="15.7109375" bestFit="1" customWidth="1"/>
    <col min="12" max="12" width="12.42578125" bestFit="1" customWidth="1"/>
    <col min="13" max="13" width="9.5703125" bestFit="1" customWidth="1"/>
    <col min="14" max="14" width="24.85546875" bestFit="1" customWidth="1"/>
    <col min="15" max="15" width="5" bestFit="1" customWidth="1"/>
    <col min="16" max="16" width="4.28515625" bestFit="1" customWidth="1"/>
    <col min="17" max="17" width="6.7109375" bestFit="1" customWidth="1"/>
    <col min="18" max="18" width="19.28515625" bestFit="1" customWidth="1"/>
    <col min="19" max="19" width="20.28515625" bestFit="1" customWidth="1"/>
    <col min="20" max="20" width="17.85546875" bestFit="1" customWidth="1"/>
    <col min="21" max="21" width="22.42578125" bestFit="1" customWidth="1"/>
    <col min="22" max="22" width="12.140625" bestFit="1" customWidth="1"/>
    <col min="23" max="23" width="21.85546875" bestFit="1" customWidth="1"/>
    <col min="24" max="24" width="17.42578125" bestFit="1" customWidth="1"/>
    <col min="25" max="25" width="18" bestFit="1" customWidth="1"/>
    <col min="26" max="26" width="25.85546875" bestFit="1" customWidth="1"/>
    <col min="27" max="27" width="13.5703125" bestFit="1" customWidth="1"/>
    <col min="28" max="28" width="18.140625" bestFit="1" customWidth="1"/>
    <col min="29" max="29" width="11.42578125" bestFit="1" customWidth="1"/>
    <col min="30" max="30" width="17.140625" bestFit="1" customWidth="1"/>
    <col min="31" max="31" width="18" bestFit="1" customWidth="1"/>
    <col min="32" max="32" width="15.42578125" bestFit="1" customWidth="1"/>
    <col min="33" max="33" width="25.85546875" bestFit="1" customWidth="1"/>
    <col min="34" max="34" width="20.5703125" bestFit="1" customWidth="1"/>
    <col min="35" max="35" width="21" bestFit="1" customWidth="1"/>
    <col min="36" max="36" width="25.5703125" bestFit="1" customWidth="1"/>
    <col min="37" max="37" width="16.85546875" bestFit="1" customWidth="1"/>
    <col min="38" max="38" width="20" bestFit="1" customWidth="1"/>
    <col min="39" max="39" width="21.28515625" bestFit="1" customWidth="1"/>
    <col min="40" max="40" width="19.28515625" bestFit="1" customWidth="1"/>
    <col min="41" max="41" width="19.5703125" bestFit="1" customWidth="1"/>
    <col min="42" max="42" width="22.140625" bestFit="1" customWidth="1"/>
    <col min="43" max="43" width="27.42578125" bestFit="1" customWidth="1"/>
    <col min="44" max="44" width="25.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A8F7-B880-4AB8-AFBE-116890CFA5D7}">
  <dimension ref="B3:F7"/>
  <sheetViews>
    <sheetView workbookViewId="0">
      <selection activeCell="D7" sqref="D7"/>
    </sheetView>
  </sheetViews>
  <sheetFormatPr defaultRowHeight="15" x14ac:dyDescent="0.25"/>
  <cols>
    <col min="2" max="2" width="26.140625" bestFit="1" customWidth="1"/>
    <col min="3" max="3" width="22.42578125" bestFit="1" customWidth="1"/>
    <col min="4" max="4" width="14.5703125" bestFit="1" customWidth="1"/>
    <col min="5" max="5" width="18.42578125" bestFit="1" customWidth="1"/>
    <col min="6" max="6" width="14.7109375" bestFit="1" customWidth="1"/>
  </cols>
  <sheetData>
    <row r="3" spans="2:6" x14ac:dyDescent="0.25">
      <c r="B3" t="s">
        <v>1561</v>
      </c>
      <c r="C3" t="s">
        <v>1554</v>
      </c>
      <c r="D3" t="s">
        <v>1555</v>
      </c>
    </row>
    <row r="4" spans="2:6" x14ac:dyDescent="0.25">
      <c r="B4" s="1">
        <v>1470</v>
      </c>
      <c r="C4" s="1">
        <v>237</v>
      </c>
      <c r="D4" s="1">
        <v>36.923809523809524</v>
      </c>
    </row>
    <row r="6" spans="2:6" ht="15.75" x14ac:dyDescent="0.25">
      <c r="B6" s="3" t="s">
        <v>1556</v>
      </c>
      <c r="C6" s="3" t="s">
        <v>1557</v>
      </c>
      <c r="D6" s="3" t="s">
        <v>1558</v>
      </c>
      <c r="E6" s="3" t="s">
        <v>1559</v>
      </c>
      <c r="F6" s="3" t="s">
        <v>1560</v>
      </c>
    </row>
    <row r="7" spans="2:6" x14ac:dyDescent="0.25">
      <c r="B7" s="4">
        <f>GETPIVOTDATA("count of employee Number",$B$3)</f>
        <v>1470</v>
      </c>
      <c r="C7" s="4">
        <f>GETPIVOTDATA("sum of cf_attrition rate",$B$3)</f>
        <v>237</v>
      </c>
      <c r="D7" s="13">
        <f>GETPIVOTDATA("Average of Age",$B$3)</f>
        <v>36.923809523809524</v>
      </c>
      <c r="E7" s="4">
        <f>GETPIVOTDATA("Count of Employee Number",$B$3)-GETPIVOTDATA("Sum of CF_attrition rate",$B$3)</f>
        <v>1233</v>
      </c>
      <c r="F7" s="5">
        <f>GETPIVOTDATA("Sum of CF_attrition rate",$B$3)/GETPIVOTDATA("Count of Employee Number",$B$3)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3564-F9FA-40EF-A6DC-F0ACE8B7BF3A}">
  <dimension ref="A2:C6"/>
  <sheetViews>
    <sheetView workbookViewId="0">
      <selection activeCell="H15" sqref="H15"/>
    </sheetView>
  </sheetViews>
  <sheetFormatPr defaultRowHeight="15" x14ac:dyDescent="0.25"/>
  <cols>
    <col min="1" max="1" width="25.140625" bestFit="1" customWidth="1"/>
  </cols>
  <sheetData>
    <row r="2" spans="1:3" x14ac:dyDescent="0.25">
      <c r="A2" t="s">
        <v>1562</v>
      </c>
    </row>
    <row r="3" spans="1:3" x14ac:dyDescent="0.25">
      <c r="A3" s="6">
        <v>2.6265306122448981</v>
      </c>
    </row>
    <row r="5" spans="1:3" x14ac:dyDescent="0.25">
      <c r="A5" t="s">
        <v>1563</v>
      </c>
      <c r="B5" s="6">
        <f>GETPIVOTDATA("Job Satisfaction",$A$2)</f>
        <v>2.6265306122448981</v>
      </c>
      <c r="C5" s="2">
        <f>B5/4</f>
        <v>0.65663265306122454</v>
      </c>
    </row>
    <row r="6" spans="1:3" x14ac:dyDescent="0.25">
      <c r="A6" s="6" t="s">
        <v>1564</v>
      </c>
      <c r="B6" s="6">
        <f>4-B5</f>
        <v>1.3734693877551019</v>
      </c>
      <c r="C6" s="2">
        <f>B6/4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1901-0E0E-4F20-A235-D94EE3BB61C0}">
  <dimension ref="A2:C10"/>
  <sheetViews>
    <sheetView topLeftCell="A2" workbookViewId="0">
      <selection activeCell="C9" sqref="C9"/>
    </sheetView>
  </sheetViews>
  <sheetFormatPr defaultRowHeight="15" x14ac:dyDescent="0.25"/>
  <cols>
    <col min="1" max="1" width="13.140625" bestFit="1" customWidth="1"/>
    <col min="2" max="2" width="26.140625" bestFit="1" customWidth="1"/>
    <col min="3" max="3" width="11.28515625" bestFit="1" customWidth="1"/>
  </cols>
  <sheetData>
    <row r="2" spans="1:3" x14ac:dyDescent="0.25">
      <c r="A2" s="7" t="s">
        <v>1566</v>
      </c>
      <c r="B2" t="s">
        <v>1561</v>
      </c>
    </row>
    <row r="3" spans="1:3" x14ac:dyDescent="0.25">
      <c r="A3" s="8" t="s">
        <v>51</v>
      </c>
      <c r="B3" s="1">
        <v>588</v>
      </c>
    </row>
    <row r="4" spans="1:3" x14ac:dyDescent="0.25">
      <c r="A4" s="8" t="s">
        <v>62</v>
      </c>
      <c r="B4" s="1">
        <v>882</v>
      </c>
    </row>
    <row r="5" spans="1:3" x14ac:dyDescent="0.25">
      <c r="A5" s="8" t="s">
        <v>1565</v>
      </c>
      <c r="B5" s="1">
        <v>1470</v>
      </c>
    </row>
    <row r="9" spans="1:3" x14ac:dyDescent="0.25">
      <c r="A9" s="10" t="s">
        <v>51</v>
      </c>
      <c r="B9">
        <f>IFERROR(GETPIVOTDATA("Employee Number",$A$2,"Gender","Female"),0)</f>
        <v>588</v>
      </c>
      <c r="C9" s="9">
        <f>IFERROR(B9/($B$9+$B$10),0)</f>
        <v>0.4</v>
      </c>
    </row>
    <row r="10" spans="1:3" x14ac:dyDescent="0.25">
      <c r="A10" s="10" t="s">
        <v>62</v>
      </c>
      <c r="B10">
        <f>IFERROR(GETPIVOTDATA("Employee Number",$A$2,"Gender","Male"),0)</f>
        <v>882</v>
      </c>
      <c r="C10" s="9">
        <f>IFERROR(B10/($B$9+$B$10),0)</f>
        <v>0.6</v>
      </c>
    </row>
  </sheetData>
  <pageMargins left="0.7" right="0.7" top="0.75" bottom="0.75" header="0.3" footer="0.3"/>
  <pageSetup paperSize="262" orientation="portrait" horizontalDpi="203" verticalDpi="203"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79EC6-FEB4-4311-8BF9-F09C9C5FDDD6}">
  <dimension ref="A2:B8"/>
  <sheetViews>
    <sheetView topLeftCell="A3" workbookViewId="0">
      <selection activeCell="M16" sqref="M16"/>
    </sheetView>
  </sheetViews>
  <sheetFormatPr defaultRowHeight="15" x14ac:dyDescent="0.25"/>
  <cols>
    <col min="1" max="1" width="17.42578125" bestFit="1" customWidth="1"/>
    <col min="2" max="2" width="23.85546875" bestFit="1" customWidth="1"/>
  </cols>
  <sheetData>
    <row r="2" spans="1:2" x14ac:dyDescent="0.25">
      <c r="A2" s="7" t="s">
        <v>1566</v>
      </c>
      <c r="B2" t="s">
        <v>1567</v>
      </c>
    </row>
    <row r="3" spans="1:2" x14ac:dyDescent="0.25">
      <c r="A3" s="8" t="s">
        <v>55</v>
      </c>
      <c r="B3" s="1">
        <v>44</v>
      </c>
    </row>
    <row r="4" spans="1:2" x14ac:dyDescent="0.25">
      <c r="A4" s="8" t="s">
        <v>77</v>
      </c>
      <c r="B4" s="1">
        <v>99</v>
      </c>
    </row>
    <row r="5" spans="1:2" x14ac:dyDescent="0.25">
      <c r="A5" s="8" t="s">
        <v>134</v>
      </c>
      <c r="B5" s="1">
        <v>5</v>
      </c>
    </row>
    <row r="6" spans="1:2" x14ac:dyDescent="0.25">
      <c r="A6" s="8" t="s">
        <v>65</v>
      </c>
      <c r="B6" s="1">
        <v>31</v>
      </c>
    </row>
    <row r="7" spans="1:2" x14ac:dyDescent="0.25">
      <c r="A7" s="8" t="s">
        <v>71</v>
      </c>
      <c r="B7" s="1">
        <v>58</v>
      </c>
    </row>
    <row r="8" spans="1:2" x14ac:dyDescent="0.25">
      <c r="A8" s="8" t="s">
        <v>1565</v>
      </c>
      <c r="B8"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E0F4-E39A-404F-929D-E0F44DB81D6B}">
  <dimension ref="A2:E12"/>
  <sheetViews>
    <sheetView topLeftCell="A2" workbookViewId="0">
      <selection activeCell="D23" sqref="D23"/>
    </sheetView>
  </sheetViews>
  <sheetFormatPr defaultRowHeight="15" x14ac:dyDescent="0.25"/>
  <cols>
    <col min="1" max="1" width="25" bestFit="1" customWidth="1"/>
    <col min="2" max="2" width="25.28515625" bestFit="1" customWidth="1"/>
    <col min="4" max="4" width="25" bestFit="1" customWidth="1"/>
    <col min="5" max="5" width="27" customWidth="1"/>
  </cols>
  <sheetData>
    <row r="2" spans="1:5" x14ac:dyDescent="0.25">
      <c r="A2" s="7" t="s">
        <v>1566</v>
      </c>
      <c r="B2" t="s">
        <v>1568</v>
      </c>
      <c r="D2" s="11" t="s">
        <v>9</v>
      </c>
      <c r="E2" s="11" t="s">
        <v>0</v>
      </c>
    </row>
    <row r="3" spans="1:5" x14ac:dyDescent="0.25">
      <c r="A3" s="8" t="s">
        <v>83</v>
      </c>
      <c r="B3" s="1">
        <v>131</v>
      </c>
      <c r="D3" s="8" t="s">
        <v>83</v>
      </c>
      <c r="E3" s="1">
        <v>131</v>
      </c>
    </row>
    <row r="4" spans="1:5" x14ac:dyDescent="0.25">
      <c r="A4" s="8" t="s">
        <v>163</v>
      </c>
      <c r="B4" s="1">
        <v>52</v>
      </c>
      <c r="D4" s="8" t="s">
        <v>163</v>
      </c>
      <c r="E4" s="1">
        <v>52</v>
      </c>
    </row>
    <row r="5" spans="1:5" x14ac:dyDescent="0.25">
      <c r="A5" s="8" t="s">
        <v>68</v>
      </c>
      <c r="B5" s="1">
        <v>259</v>
      </c>
      <c r="D5" s="8" t="s">
        <v>68</v>
      </c>
      <c r="E5" s="1">
        <v>259</v>
      </c>
    </row>
    <row r="6" spans="1:5" x14ac:dyDescent="0.25">
      <c r="A6" s="8" t="s">
        <v>95</v>
      </c>
      <c r="B6" s="1">
        <v>102</v>
      </c>
      <c r="D6" s="8" t="s">
        <v>95</v>
      </c>
      <c r="E6" s="1">
        <v>102</v>
      </c>
    </row>
    <row r="7" spans="1:5" x14ac:dyDescent="0.25">
      <c r="A7" s="8" t="s">
        <v>81</v>
      </c>
      <c r="B7" s="1">
        <v>145</v>
      </c>
      <c r="D7" s="8" t="s">
        <v>81</v>
      </c>
      <c r="E7" s="1">
        <v>145</v>
      </c>
    </row>
    <row r="8" spans="1:5" x14ac:dyDescent="0.25">
      <c r="A8" s="8" t="s">
        <v>101</v>
      </c>
      <c r="B8" s="1">
        <v>80</v>
      </c>
      <c r="D8" s="8" t="s">
        <v>101</v>
      </c>
      <c r="E8" s="1">
        <v>80</v>
      </c>
    </row>
    <row r="9" spans="1:5" x14ac:dyDescent="0.25">
      <c r="A9" s="8" t="s">
        <v>63</v>
      </c>
      <c r="B9" s="1">
        <v>292</v>
      </c>
      <c r="D9" s="8" t="s">
        <v>63</v>
      </c>
      <c r="E9" s="1">
        <v>292</v>
      </c>
    </row>
    <row r="10" spans="1:5" x14ac:dyDescent="0.25">
      <c r="A10" s="8" t="s">
        <v>52</v>
      </c>
      <c r="B10" s="1">
        <v>326</v>
      </c>
      <c r="D10" s="8" t="s">
        <v>52</v>
      </c>
      <c r="E10" s="1">
        <v>326</v>
      </c>
    </row>
    <row r="11" spans="1:5" x14ac:dyDescent="0.25">
      <c r="A11" s="8" t="s">
        <v>99</v>
      </c>
      <c r="B11" s="1">
        <v>83</v>
      </c>
      <c r="D11" s="8" t="s">
        <v>99</v>
      </c>
      <c r="E11" s="1">
        <v>83</v>
      </c>
    </row>
    <row r="12" spans="1:5" x14ac:dyDescent="0.25">
      <c r="A12" s="8" t="s">
        <v>1565</v>
      </c>
      <c r="B12" s="1">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2271-61A1-4E34-8A2F-A1A616A33EBC}">
  <dimension ref="A2:G6"/>
  <sheetViews>
    <sheetView workbookViewId="0">
      <selection activeCell="K12" sqref="K12"/>
    </sheetView>
  </sheetViews>
  <sheetFormatPr defaultRowHeight="15" x14ac:dyDescent="0.25"/>
  <cols>
    <col min="1" max="1" width="13.140625" bestFit="1" customWidth="1"/>
    <col min="2" max="2" width="23.85546875" bestFit="1" customWidth="1"/>
    <col min="5" max="5" width="11.7109375" bestFit="1" customWidth="1"/>
    <col min="6" max="6" width="8.5703125" bestFit="1" customWidth="1"/>
    <col min="7" max="7" width="19.28515625" bestFit="1" customWidth="1"/>
  </cols>
  <sheetData>
    <row r="2" spans="1:7" x14ac:dyDescent="0.25">
      <c r="A2" s="7" t="s">
        <v>1566</v>
      </c>
      <c r="B2" t="s">
        <v>1567</v>
      </c>
    </row>
    <row r="3" spans="1:7" x14ac:dyDescent="0.25">
      <c r="A3" s="8" t="s">
        <v>161</v>
      </c>
      <c r="B3" s="1">
        <v>12</v>
      </c>
      <c r="E3" s="12" t="s">
        <v>4</v>
      </c>
      <c r="F3" s="12" t="s">
        <v>0</v>
      </c>
      <c r="G3" s="12" t="s">
        <v>1569</v>
      </c>
    </row>
    <row r="4" spans="1:7" x14ac:dyDescent="0.25">
      <c r="A4" s="8" t="s">
        <v>60</v>
      </c>
      <c r="B4" s="1">
        <v>133</v>
      </c>
      <c r="E4" s="4" t="str">
        <f>A3</f>
        <v>HR</v>
      </c>
      <c r="F4" s="4">
        <f>GETPIVOTDATA("CF_attrition count",$A$2,"Department","HR")</f>
        <v>12</v>
      </c>
      <c r="G4" s="5">
        <f>F4/GETPIVOTDATA("CF_attrition count",$A$2)</f>
        <v>5.0632911392405063E-2</v>
      </c>
    </row>
    <row r="5" spans="1:7" x14ac:dyDescent="0.25">
      <c r="A5" s="8" t="s">
        <v>48</v>
      </c>
      <c r="B5" s="1">
        <v>92</v>
      </c>
      <c r="E5" s="4" t="str">
        <f t="shared" ref="E5:E6" si="0">A4</f>
        <v>R&amp;D</v>
      </c>
      <c r="F5" s="4">
        <f>GETPIVOTDATA("CF_attrition count",$A$2,"Department","R&amp;D")</f>
        <v>133</v>
      </c>
      <c r="G5" s="5">
        <f t="shared" ref="G5:G6" si="1">F5/GETPIVOTDATA("CF_attrition count",$A$2)</f>
        <v>0.56118143459915615</v>
      </c>
    </row>
    <row r="6" spans="1:7" x14ac:dyDescent="0.25">
      <c r="A6" s="8" t="s">
        <v>1565</v>
      </c>
      <c r="B6" s="1">
        <v>237</v>
      </c>
      <c r="E6" s="4" t="str">
        <f t="shared" si="0"/>
        <v>Sales</v>
      </c>
      <c r="F6" s="4">
        <f>GETPIVOTDATA("CF_attrition count",$A$2,"Department","Sales")</f>
        <v>92</v>
      </c>
      <c r="G6" s="5">
        <f t="shared" si="1"/>
        <v>0.3881856540084388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5813-AEC0-422F-A8C9-012EA4B4883D}">
  <dimension ref="A2:B8"/>
  <sheetViews>
    <sheetView workbookViewId="0">
      <selection activeCell="I3" sqref="I3"/>
    </sheetView>
  </sheetViews>
  <sheetFormatPr defaultRowHeight="15" x14ac:dyDescent="0.25"/>
  <cols>
    <col min="1" max="1" width="13.140625" bestFit="1" customWidth="1"/>
    <col min="2" max="2" width="25.28515625" bestFit="1" customWidth="1"/>
  </cols>
  <sheetData>
    <row r="2" spans="1:2" x14ac:dyDescent="0.25">
      <c r="A2" s="7" t="s">
        <v>1566</v>
      </c>
      <c r="B2" t="s">
        <v>1568</v>
      </c>
    </row>
    <row r="3" spans="1:2" x14ac:dyDescent="0.25">
      <c r="A3" s="8" t="s">
        <v>69</v>
      </c>
      <c r="B3" s="1">
        <v>554</v>
      </c>
    </row>
    <row r="4" spans="1:2" x14ac:dyDescent="0.25">
      <c r="A4" s="8" t="s">
        <v>46</v>
      </c>
      <c r="B4" s="1">
        <v>505</v>
      </c>
    </row>
    <row r="5" spans="1:2" x14ac:dyDescent="0.25">
      <c r="A5" s="8" t="s">
        <v>58</v>
      </c>
      <c r="B5" s="1">
        <v>245</v>
      </c>
    </row>
    <row r="6" spans="1:2" x14ac:dyDescent="0.25">
      <c r="A6" s="8" t="s">
        <v>75</v>
      </c>
      <c r="B6" s="1">
        <v>69</v>
      </c>
    </row>
    <row r="7" spans="1:2" x14ac:dyDescent="0.25">
      <c r="A7" s="8" t="s">
        <v>92</v>
      </c>
      <c r="B7" s="1">
        <v>97</v>
      </c>
    </row>
    <row r="8" spans="1:2" x14ac:dyDescent="0.25">
      <c r="A8" s="8" t="s">
        <v>1565</v>
      </c>
      <c r="B8" s="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DB93-1233-45A8-ADA8-BD9AFAE299E0}">
  <dimension ref="A2:E6"/>
  <sheetViews>
    <sheetView topLeftCell="A6" workbookViewId="0">
      <selection activeCell="F8" sqref="F8"/>
    </sheetView>
  </sheetViews>
  <sheetFormatPr defaultRowHeight="15" x14ac:dyDescent="0.25"/>
  <cols>
    <col min="1" max="1" width="13.140625" bestFit="1" customWidth="1"/>
    <col min="2" max="2" width="25.28515625" bestFit="1" customWidth="1"/>
    <col min="4" max="4" width="13.28515625" bestFit="1" customWidth="1"/>
    <col min="5" max="5" width="8.5703125" bestFit="1" customWidth="1"/>
  </cols>
  <sheetData>
    <row r="2" spans="1:5" x14ac:dyDescent="0.25">
      <c r="A2" s="7" t="s">
        <v>1566</v>
      </c>
      <c r="B2" t="s">
        <v>1568</v>
      </c>
    </row>
    <row r="3" spans="1:5" x14ac:dyDescent="0.25">
      <c r="A3" s="8" t="s">
        <v>79</v>
      </c>
      <c r="B3" s="1">
        <v>327</v>
      </c>
      <c r="D3" t="s">
        <v>10</v>
      </c>
      <c r="E3" t="s">
        <v>0</v>
      </c>
    </row>
    <row r="4" spans="1:5" x14ac:dyDescent="0.25">
      <c r="A4" s="8" t="s">
        <v>64</v>
      </c>
      <c r="B4" s="1">
        <v>673</v>
      </c>
      <c r="D4" t="str">
        <f>A3</f>
        <v>Divorced</v>
      </c>
      <c r="E4">
        <f>GETPIVOTDATA("CF_attrition count",$A$2,"Marital Status","Divorced")</f>
        <v>327</v>
      </c>
    </row>
    <row r="5" spans="1:5" x14ac:dyDescent="0.25">
      <c r="A5" s="8" t="s">
        <v>53</v>
      </c>
      <c r="B5" s="1">
        <v>470</v>
      </c>
      <c r="D5" t="str">
        <f>A5</f>
        <v>Single</v>
      </c>
      <c r="E5">
        <f>GETPIVOTDATA("CF_attrition count",$A$2,"Marital Status","Single")</f>
        <v>470</v>
      </c>
    </row>
    <row r="6" spans="1:5" x14ac:dyDescent="0.25">
      <c r="A6" s="8" t="s">
        <v>1565</v>
      </c>
      <c r="B6" s="1">
        <v>1470</v>
      </c>
      <c r="D6" t="str">
        <f>A4</f>
        <v>Married</v>
      </c>
      <c r="E6">
        <f>GETPIVOTDATA("CF_attrition count",$A$2,"Marital Status","Married")</f>
        <v>673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B1902-F74E-4162-9D11-71E8AB024AB2}">
  <dimension ref="A1"/>
  <sheetViews>
    <sheetView tabSelected="1" topLeftCell="F2" zoomScale="90" zoomScaleNormal="90" workbookViewId="0">
      <selection activeCell="X12" sqref="X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KPI</vt:lpstr>
      <vt:lpstr>Ratings</vt:lpstr>
      <vt:lpstr>Employee by Gender</vt:lpstr>
      <vt:lpstr>Education wise Attrition</vt:lpstr>
      <vt:lpstr>Attrition By Job Role</vt:lpstr>
      <vt:lpstr>Department-wise Attrition</vt:lpstr>
      <vt:lpstr>Attrition By Age-Group</vt:lpstr>
      <vt:lpstr>Attrition By Marriage Status</vt:lpstr>
      <vt:lpstr>Background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Sabby</dc:creator>
  <cp:lastModifiedBy>Sabby</cp:lastModifiedBy>
  <dcterms:created xsi:type="dcterms:W3CDTF">2026-04-07T14:04:40Z</dcterms:created>
  <dcterms:modified xsi:type="dcterms:W3CDTF">2026-04-07T18:06:44Z</dcterms:modified>
</cp:coreProperties>
</file>